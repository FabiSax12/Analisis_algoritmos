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f_vargas_1_estudiantec_cr/Documents/III Semestre/Análisis de algoritmos/Analisis - Proyecto 1/"/>
    </mc:Choice>
  </mc:AlternateContent>
  <xr:revisionPtr revIDLastSave="353" documentId="8_{2FCCCEEF-840E-4E86-ADF0-9A2D3957909A}" xr6:coauthVersionLast="47" xr6:coauthVersionMax="47" xr10:uidLastSave="{1CF8ACC2-FB22-4CB6-817C-81339704D792}"/>
  <bookViews>
    <workbookView xWindow="-108" yWindow="-108" windowWidth="23256" windowHeight="12576" tabRatio="738" firstSheet="1" activeTab="2" xr2:uid="{E6716E66-8208-44B0-BF49-B934528B8CBC}"/>
  </bookViews>
  <sheets>
    <sheet name="Resultados" sheetId="9" r:id="rId1"/>
    <sheet name="Graficos" sheetId="7" r:id="rId2"/>
    <sheet name="Factor de Crecimiento" sheetId="8" r:id="rId3"/>
    <sheet name="Resultados_1_Divisi_n_por_tenta" sheetId="2" r:id="rId4"/>
    <sheet name="Resultados_2_Criba_de_Erat_sten" sheetId="3" r:id="rId5"/>
    <sheet name="Resultados_3_Criba_de_Atkin" sheetId="6" r:id="rId6"/>
    <sheet name="Resultados_4_Miller-Rabin" sheetId="4" r:id="rId7"/>
  </sheets>
  <definedNames>
    <definedName name="ExternalData_1" localSheetId="3" hidden="1">Resultados_1_Divisi_n_por_tenta!$A$1:$F$9</definedName>
    <definedName name="ExternalData_1" localSheetId="4" hidden="1">Resultados_2_Criba_de_Erat_sten!$A$1:$F$9</definedName>
    <definedName name="ExternalData_1" localSheetId="5" hidden="1">'Resultados_3_Criba_de_Atkin'!$A$1:$F$9</definedName>
    <definedName name="ExternalData_1" localSheetId="6" hidden="1">'Resultados_4_Miller-Rabin'!$A$1:$F$9</definedName>
    <definedName name="ExternalData_2" localSheetId="0" hidden="1">Resultados!$A$12:$F$20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3" i="8"/>
  <c r="N3" i="8"/>
  <c r="O4" i="8"/>
  <c r="O5" i="8"/>
  <c r="O6" i="8"/>
  <c r="O7" i="8"/>
  <c r="O8" i="8"/>
  <c r="O9" i="8"/>
  <c r="O10" i="8"/>
  <c r="O11" i="8"/>
  <c r="O12" i="8"/>
  <c r="O3" i="8"/>
  <c r="N4" i="8"/>
  <c r="N5" i="8"/>
  <c r="N6" i="8"/>
  <c r="N7" i="8"/>
  <c r="N8" i="8"/>
  <c r="N9" i="8"/>
  <c r="N10" i="8"/>
  <c r="N11" i="8"/>
  <c r="N12" i="8"/>
  <c r="M4" i="8"/>
  <c r="M5" i="8"/>
  <c r="M6" i="8"/>
  <c r="M7" i="8"/>
  <c r="M8" i="8"/>
  <c r="M9" i="8"/>
  <c r="M10" i="8"/>
  <c r="M11" i="8"/>
  <c r="M12" i="8"/>
  <c r="M3" i="8"/>
  <c r="L3" i="8"/>
  <c r="L4" i="8"/>
  <c r="L5" i="8"/>
  <c r="L6" i="8"/>
  <c r="L7" i="8"/>
  <c r="L8" i="8"/>
  <c r="L9" i="8"/>
  <c r="L10" i="8"/>
  <c r="L11" i="8"/>
  <c r="L12" i="8"/>
  <c r="K12" i="8"/>
  <c r="K11" i="8"/>
  <c r="K10" i="8"/>
  <c r="K9" i="8"/>
  <c r="K8" i="8"/>
  <c r="K7" i="8"/>
  <c r="K6" i="8"/>
  <c r="K5" i="8"/>
  <c r="K4" i="8"/>
  <c r="K3" i="8"/>
  <c r="G4" i="8"/>
  <c r="G5" i="8"/>
  <c r="G6" i="8"/>
  <c r="G7" i="8"/>
  <c r="G8" i="8"/>
  <c r="G9" i="8"/>
  <c r="G10" i="8"/>
  <c r="G11" i="8"/>
  <c r="G12" i="8"/>
  <c r="G3" i="8"/>
  <c r="E4" i="8"/>
  <c r="E5" i="8"/>
  <c r="E6" i="8"/>
  <c r="E7" i="8"/>
  <c r="E8" i="8"/>
  <c r="E9" i="8"/>
  <c r="E10" i="8"/>
  <c r="E11" i="8"/>
  <c r="E12" i="8"/>
  <c r="E3" i="8"/>
  <c r="D3" i="8"/>
  <c r="D4" i="8"/>
  <c r="D5" i="8"/>
  <c r="D6" i="8"/>
  <c r="D7" i="8"/>
  <c r="D8" i="8"/>
  <c r="D9" i="8"/>
  <c r="D10" i="8"/>
  <c r="D11" i="8"/>
  <c r="D12" i="8"/>
  <c r="C4" i="8"/>
  <c r="C5" i="8"/>
  <c r="C6" i="8"/>
  <c r="C7" i="8"/>
  <c r="C8" i="8"/>
  <c r="C9" i="8"/>
  <c r="C10" i="8"/>
  <c r="C11" i="8"/>
  <c r="C12" i="8"/>
  <c r="C3" i="8"/>
  <c r="E8" i="7" l="1"/>
  <c r="E9" i="7"/>
  <c r="D8" i="7"/>
  <c r="D9" i="7"/>
  <c r="C8" i="7"/>
  <c r="C9" i="7"/>
  <c r="B8" i="7"/>
  <c r="B9" i="7"/>
  <c r="E3" i="7"/>
  <c r="E4" i="7"/>
  <c r="E5" i="7"/>
  <c r="E6" i="7"/>
  <c r="E7" i="7"/>
  <c r="E2" i="7"/>
  <c r="D3" i="7"/>
  <c r="D4" i="7"/>
  <c r="D5" i="7"/>
  <c r="D6" i="7"/>
  <c r="D7" i="7"/>
  <c r="D2" i="7"/>
  <c r="C2" i="7"/>
  <c r="C3" i="7"/>
  <c r="C4" i="7"/>
  <c r="C5" i="7"/>
  <c r="C6" i="7"/>
  <c r="C7" i="7"/>
  <c r="B2" i="7"/>
  <c r="B3" i="7"/>
  <c r="B4" i="7"/>
  <c r="B5" i="7"/>
  <c r="B6" i="7"/>
  <c r="B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28C6C0-53BC-4DC5-B0B3-E67687E8BDBB}" keepAlive="1" name="Query - Resultados_1_Divisi_n_por_tentativa_optimizado" description="Connection to the 'Resultados_1_Divisi_n_por_tentativa_optimizado' query in the workbook." type="5" refreshedVersion="8" background="1" saveData="1">
    <dbPr connection="Provider=Microsoft.Mashup.OleDb.1;Data Source=$Workbook$;Location=Resultados_1_Divisi_n_por_tentativa_optimizado;Extended Properties=&quot;&quot;" command="SELECT * FROM [Resultados_1_Divisi_n_por_tentativa_optimizado]"/>
  </connection>
  <connection id="2" xr16:uid="{BCB00DCC-0AC5-44FA-9F2E-5DAA086C2217}" keepAlive="1" name="Query - Resultados_2_Criba_de_Erat_stenes" description="Connection to the 'Resultados_2_Criba_de_Erat_stenes' query in the workbook." type="5" refreshedVersion="8" background="1" saveData="1">
    <dbPr connection="Provider=Microsoft.Mashup.OleDb.1;Data Source=$Workbook$;Location=Resultados_2_Criba_de_Erat_stenes;Extended Properties=&quot;&quot;" command="SELECT * FROM [Resultados_2_Criba_de_Erat_stenes]"/>
  </connection>
  <connection id="3" xr16:uid="{43FE77FD-FA6A-4D2F-9AB2-1EAA31E04976}" keepAlive="1" name="Query - Resultados_2_Criba_de_Erat_stenes (2)" description="Connection to the 'Resultados_2_Criba_de_Erat_stenes (2)' query in the workbook." type="5" refreshedVersion="8" background="1" saveData="1">
    <dbPr connection="Provider=Microsoft.Mashup.OleDb.1;Data Source=$Workbook$;Location=&quot;Resultados_2_Criba_de_Erat_stenes (2)&quot;;Extended Properties=&quot;&quot;" command="SELECT * FROM [Resultados_2_Criba_de_Erat_stenes (2)]"/>
  </connection>
  <connection id="4" xr16:uid="{03647443-C29A-4068-A4D5-389B660F353A}" keepAlive="1" name="Query - Resultados_3_Criba_de_Atkin" description="Connection to the 'Resultados_3_Criba_de_Atkin' query in the workbook." type="5" refreshedVersion="8" background="1" saveData="1">
    <dbPr connection="Provider=Microsoft.Mashup.OleDb.1;Data Source=$Workbook$;Location=Resultados_3_Criba_de_Atkin;Extended Properties=&quot;&quot;" command="SELECT * FROM [Resultados_3_Criba_de_Atkin]"/>
  </connection>
  <connection id="5" xr16:uid="{6363E896-42D7-4AD2-AFD1-EB3ECE7C48A2}" keepAlive="1" name="Query - Resultados_4_Miller-Rabin" description="Connection to the 'Resultados_4_Miller-Rabin' query in the workbook." type="5" refreshedVersion="8" background="1" saveData="1">
    <dbPr connection="Provider=Microsoft.Mashup.OleDb.1;Data Source=$Workbook$;Location=Resultados_4_Miller-Rabin;Extended Properties=&quot;&quot;" command="SELECT * FROM [Resultados_4_Miller-Rabin]"/>
  </connection>
</connections>
</file>

<file path=xl/sharedStrings.xml><?xml version="1.0" encoding="utf-8"?>
<sst xmlns="http://schemas.openxmlformats.org/spreadsheetml/2006/main" count="55" uniqueCount="18">
  <si>
    <t>Tamaño</t>
  </si>
  <si>
    <t>Asignaciones</t>
  </si>
  <si>
    <t>Comparaciones</t>
  </si>
  <si>
    <t>Cantidad de líneas ejecutadas (Suma asig + comp)</t>
  </si>
  <si>
    <t>Tiempo de ejecución (ms)</t>
  </si>
  <si>
    <t>Cantidad de líneas del código</t>
  </si>
  <si>
    <t>Miller-Rabin</t>
  </si>
  <si>
    <t>Atkin</t>
  </si>
  <si>
    <t>Divisibilidad</t>
  </si>
  <si>
    <t>Eratóstenes</t>
  </si>
  <si>
    <t>Factor talla</t>
  </si>
  <si>
    <t>Factor Asig</t>
  </si>
  <si>
    <t>Factor comparaciones</t>
  </si>
  <si>
    <t>Factor Cantidad de líneas ejecutadas</t>
  </si>
  <si>
    <t>Factor Tiempo de ejecución</t>
  </si>
  <si>
    <t>Líneas ejecutadas</t>
  </si>
  <si>
    <t>Prueba de divisibilidad</t>
  </si>
  <si>
    <t>Criba de Eratóstenes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</si>
</sst>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Divisibilidad vs Criba de Eratóstenes vs</a:t>
            </a:r>
          </a:p>
          <a:p>
            <a:pPr>
              <a:defRPr/>
            </a:pPr>
            <a:r>
              <a:rPr lang="es-CR" sz="1400" b="0" i="0" u="none" strike="noStrike" baseline="0"/>
              <a:t>Algoritmo de Miller-Rabin vs Criba de Atkin</a:t>
            </a:r>
            <a:endParaRPr lang="es-CR"/>
          </a:p>
        </c:rich>
      </c:tx>
      <c:layout>
        <c:manualLayout>
          <c:xMode val="edge"/>
          <c:yMode val="edge"/>
          <c:x val="0.27614697060259746"/>
          <c:y val="2.3262778367688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>
        <c:manualLayout>
          <c:layoutTarget val="inner"/>
          <c:xMode val="edge"/>
          <c:yMode val="edge"/>
          <c:x val="0.11122318975467352"/>
          <c:y val="0.15757635795407338"/>
          <c:w val="0.83539264632365318"/>
          <c:h val="0.73482724335300276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Divisibilidad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D0-4B34-B9A8-8B838217FE71}"/>
            </c:ext>
          </c:extLst>
        </c:ser>
        <c:ser>
          <c:idx val="1"/>
          <c:order val="1"/>
          <c:tx>
            <c:strRef>
              <c:f>Graficos!$C$1</c:f>
              <c:strCache>
                <c:ptCount val="1"/>
                <c:pt idx="0">
                  <c:v>Eratóstenes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Graficos!$C$2:$C$9</c:f>
              <c:numCache>
                <c:formatCode>General</c:formatCode>
                <c:ptCount val="8"/>
                <c:pt idx="0">
                  <c:v>63</c:v>
                </c:pt>
                <c:pt idx="1">
                  <c:v>676</c:v>
                </c:pt>
                <c:pt idx="2">
                  <c:v>7517</c:v>
                </c:pt>
                <c:pt idx="3">
                  <c:v>82523</c:v>
                </c:pt>
                <c:pt idx="4">
                  <c:v>889905</c:v>
                </c:pt>
                <c:pt idx="5">
                  <c:v>9447979</c:v>
                </c:pt>
                <c:pt idx="6">
                  <c:v>99225111</c:v>
                </c:pt>
                <c:pt idx="7">
                  <c:v>1033504526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D0-4B34-B9A8-8B838217FE71}"/>
            </c:ext>
          </c:extLst>
        </c:ser>
        <c:ser>
          <c:idx val="2"/>
          <c:order val="2"/>
          <c:tx>
            <c:strRef>
              <c:f>Graficos!$D$1</c:f>
              <c:strCache>
                <c:ptCount val="1"/>
                <c:pt idx="0">
                  <c:v>Miller-Rabin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Graficos!$D$2:$D$9</c:f>
              <c:numCache>
                <c:formatCode>General</c:formatCode>
                <c:ptCount val="8"/>
                <c:pt idx="0">
                  <c:v>1238</c:v>
                </c:pt>
                <c:pt idx="1">
                  <c:v>10732</c:v>
                </c:pt>
                <c:pt idx="2">
                  <c:v>82280</c:v>
                </c:pt>
                <c:pt idx="3">
                  <c:v>659981</c:v>
                </c:pt>
                <c:pt idx="4">
                  <c:v>5601977</c:v>
                </c:pt>
                <c:pt idx="5">
                  <c:v>49018284</c:v>
                </c:pt>
                <c:pt idx="6">
                  <c:v>447045794</c:v>
                </c:pt>
                <c:pt idx="7">
                  <c:v>4134934663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D0-4B34-B9A8-8B838217FE71}"/>
            </c:ext>
          </c:extLst>
        </c:ser>
        <c:ser>
          <c:idx val="3"/>
          <c:order val="3"/>
          <c:tx>
            <c:strRef>
              <c:f>Graficos!$E$1</c:f>
              <c:strCache>
                <c:ptCount val="1"/>
                <c:pt idx="0">
                  <c:v>Atkin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Graficos!$E$2:$E$9</c:f>
              <c:numCache>
                <c:formatCode>General</c:formatCode>
                <c:ptCount val="8"/>
                <c:pt idx="0">
                  <c:v>172</c:v>
                </c:pt>
                <c:pt idx="1">
                  <c:v>1484</c:v>
                </c:pt>
                <c:pt idx="2">
                  <c:v>16422</c:v>
                </c:pt>
                <c:pt idx="3">
                  <c:v>165063</c:v>
                </c:pt>
                <c:pt idx="4">
                  <c:v>1668222</c:v>
                </c:pt>
                <c:pt idx="5">
                  <c:v>16645094</c:v>
                </c:pt>
                <c:pt idx="6">
                  <c:v>166528644</c:v>
                </c:pt>
                <c:pt idx="7">
                  <c:v>1664246688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D0-4B34-B9A8-8B838217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343776"/>
        <c:axId val="1070359264"/>
      </c:scatterChart>
      <c:valAx>
        <c:axId val="1070343776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0359264"/>
        <c:crosses val="autoZero"/>
        <c:crossBetween val="midCat"/>
        <c:minorUnit val="100"/>
      </c:valAx>
      <c:valAx>
        <c:axId val="1070359264"/>
        <c:scaling>
          <c:logBase val="10"/>
          <c:orientation val="minMax"/>
          <c:max val="500000000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0343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62159887397883"/>
          <c:y val="0.952031596645878"/>
          <c:w val="0.49898224781025019"/>
          <c:h val="4.7968403354122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Divisibilidad vs Criba de Eratóstenes vs</a:t>
            </a:r>
          </a:p>
          <a:p>
            <a:pPr>
              <a:defRPr/>
            </a:pPr>
            <a:r>
              <a:rPr lang="es-CR" sz="1400" b="0" i="0" u="none" strike="noStrike" baseline="0"/>
              <a:t>Algoritmo de Miller-Rabin vs Criba de Atkin</a:t>
            </a:r>
            <a:endParaRPr lang="es-CR"/>
          </a:p>
        </c:rich>
      </c:tx>
      <c:layout>
        <c:manualLayout>
          <c:xMode val="edge"/>
          <c:yMode val="edge"/>
          <c:x val="0.27614697060259746"/>
          <c:y val="2.3262778367688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>
        <c:manualLayout>
          <c:layoutTarget val="inner"/>
          <c:xMode val="edge"/>
          <c:yMode val="edge"/>
          <c:x val="0.11122318975467352"/>
          <c:y val="0.15757635795407338"/>
          <c:w val="0.83539264632365318"/>
          <c:h val="0.73482724335300276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Divisibilidad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3-440B-AF63-216FF1FB9AF7}"/>
            </c:ext>
          </c:extLst>
        </c:ser>
        <c:ser>
          <c:idx val="1"/>
          <c:order val="1"/>
          <c:tx>
            <c:strRef>
              <c:f>Graficos!$C$1</c:f>
              <c:strCache>
                <c:ptCount val="1"/>
                <c:pt idx="0">
                  <c:v>Eratóstenes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Graficos!$C$2:$C$9</c:f>
              <c:numCache>
                <c:formatCode>General</c:formatCode>
                <c:ptCount val="8"/>
                <c:pt idx="0">
                  <c:v>63</c:v>
                </c:pt>
                <c:pt idx="1">
                  <c:v>676</c:v>
                </c:pt>
                <c:pt idx="2">
                  <c:v>7517</c:v>
                </c:pt>
                <c:pt idx="3">
                  <c:v>82523</c:v>
                </c:pt>
                <c:pt idx="4">
                  <c:v>889905</c:v>
                </c:pt>
                <c:pt idx="5">
                  <c:v>9447979</c:v>
                </c:pt>
                <c:pt idx="6">
                  <c:v>99225111</c:v>
                </c:pt>
                <c:pt idx="7">
                  <c:v>1033504526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A3-440B-AF63-216FF1FB9AF7}"/>
            </c:ext>
          </c:extLst>
        </c:ser>
        <c:ser>
          <c:idx val="2"/>
          <c:order val="2"/>
          <c:tx>
            <c:strRef>
              <c:f>Graficos!$D$1</c:f>
              <c:strCache>
                <c:ptCount val="1"/>
                <c:pt idx="0">
                  <c:v>Miller-Rabin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Graficos!$D$2:$D$9</c:f>
              <c:numCache>
                <c:formatCode>General</c:formatCode>
                <c:ptCount val="8"/>
                <c:pt idx="0">
                  <c:v>1238</c:v>
                </c:pt>
                <c:pt idx="1">
                  <c:v>10732</c:v>
                </c:pt>
                <c:pt idx="2">
                  <c:v>82280</c:v>
                </c:pt>
                <c:pt idx="3">
                  <c:v>659981</c:v>
                </c:pt>
                <c:pt idx="4">
                  <c:v>5601977</c:v>
                </c:pt>
                <c:pt idx="5">
                  <c:v>49018284</c:v>
                </c:pt>
                <c:pt idx="6">
                  <c:v>447045794</c:v>
                </c:pt>
                <c:pt idx="7">
                  <c:v>4134934663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A3-440B-AF63-216FF1FB9AF7}"/>
            </c:ext>
          </c:extLst>
        </c:ser>
        <c:ser>
          <c:idx val="3"/>
          <c:order val="3"/>
          <c:tx>
            <c:strRef>
              <c:f>Graficos!$E$1</c:f>
              <c:strCache>
                <c:ptCount val="1"/>
                <c:pt idx="0">
                  <c:v>Atkin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Graficos!$E$2:$E$9</c:f>
              <c:numCache>
                <c:formatCode>General</c:formatCode>
                <c:ptCount val="8"/>
                <c:pt idx="0">
                  <c:v>172</c:v>
                </c:pt>
                <c:pt idx="1">
                  <c:v>1484</c:v>
                </c:pt>
                <c:pt idx="2">
                  <c:v>16422</c:v>
                </c:pt>
                <c:pt idx="3">
                  <c:v>165063</c:v>
                </c:pt>
                <c:pt idx="4">
                  <c:v>1668222</c:v>
                </c:pt>
                <c:pt idx="5">
                  <c:v>16645094</c:v>
                </c:pt>
                <c:pt idx="6">
                  <c:v>166528644</c:v>
                </c:pt>
                <c:pt idx="7">
                  <c:v>1664246688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A3-440B-AF63-216FF1FB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343776"/>
        <c:axId val="1070359264"/>
      </c:scatterChart>
      <c:valAx>
        <c:axId val="1070343776"/>
        <c:scaling>
          <c:orientation val="minMax"/>
          <c:max val="1000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0359264"/>
        <c:crosses val="autoZero"/>
        <c:crossBetween val="midCat"/>
        <c:majorUnit val="15000000"/>
        <c:minorUnit val="1"/>
      </c:valAx>
      <c:valAx>
        <c:axId val="1070359264"/>
        <c:scaling>
          <c:orientation val="minMax"/>
          <c:max val="320000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0343776"/>
        <c:crosses val="autoZero"/>
        <c:crossBetween val="midCat"/>
        <c:majorUnit val="5000000000"/>
        <c:minorUnit val="400000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62159887397883"/>
          <c:y val="0.952031596645878"/>
          <c:w val="0.49898224781025019"/>
          <c:h val="4.7968403354122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Divisibilidad vs Criba de Eratóstenes vs</a:t>
            </a:r>
          </a:p>
          <a:p>
            <a:pPr>
              <a:defRPr/>
            </a:pPr>
            <a:r>
              <a:rPr lang="es-CR" sz="1400" b="0" i="0" u="none" strike="noStrike" baseline="0"/>
              <a:t>Algoritmo de Miller-Rabin vs Criba de Atkin</a:t>
            </a:r>
            <a:endParaRPr lang="es-CR"/>
          </a:p>
        </c:rich>
      </c:tx>
      <c:layout>
        <c:manualLayout>
          <c:xMode val="edge"/>
          <c:yMode val="edge"/>
          <c:x val="0.27614697060259746"/>
          <c:y val="2.3262778367688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>
        <c:manualLayout>
          <c:layoutTarget val="inner"/>
          <c:xMode val="edge"/>
          <c:yMode val="edge"/>
          <c:x val="0.11122318975467352"/>
          <c:y val="0.15757635795407338"/>
          <c:w val="0.83539264632365318"/>
          <c:h val="0.73482724335300276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Divisibilidad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1-4D8E-9E83-FE56D106956E}"/>
            </c:ext>
          </c:extLst>
        </c:ser>
        <c:ser>
          <c:idx val="1"/>
          <c:order val="1"/>
          <c:tx>
            <c:strRef>
              <c:f>Graficos!$C$1</c:f>
              <c:strCache>
                <c:ptCount val="1"/>
                <c:pt idx="0">
                  <c:v>Eratóstenes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Graficos!$C$2:$C$9</c:f>
              <c:numCache>
                <c:formatCode>General</c:formatCode>
                <c:ptCount val="8"/>
                <c:pt idx="0">
                  <c:v>63</c:v>
                </c:pt>
                <c:pt idx="1">
                  <c:v>676</c:v>
                </c:pt>
                <c:pt idx="2">
                  <c:v>7517</c:v>
                </c:pt>
                <c:pt idx="3">
                  <c:v>82523</c:v>
                </c:pt>
                <c:pt idx="4">
                  <c:v>889905</c:v>
                </c:pt>
                <c:pt idx="5">
                  <c:v>9447979</c:v>
                </c:pt>
                <c:pt idx="6">
                  <c:v>99225111</c:v>
                </c:pt>
                <c:pt idx="7">
                  <c:v>1033504526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91-4D8E-9E83-FE56D106956E}"/>
            </c:ext>
          </c:extLst>
        </c:ser>
        <c:ser>
          <c:idx val="2"/>
          <c:order val="2"/>
          <c:tx>
            <c:strRef>
              <c:f>Graficos!$D$1</c:f>
              <c:strCache>
                <c:ptCount val="1"/>
                <c:pt idx="0">
                  <c:v>Miller-Rabin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Graficos!$D$2:$D$9</c:f>
              <c:numCache>
                <c:formatCode>General</c:formatCode>
                <c:ptCount val="8"/>
                <c:pt idx="0">
                  <c:v>1238</c:v>
                </c:pt>
                <c:pt idx="1">
                  <c:v>10732</c:v>
                </c:pt>
                <c:pt idx="2">
                  <c:v>82280</c:v>
                </c:pt>
                <c:pt idx="3">
                  <c:v>659981</c:v>
                </c:pt>
                <c:pt idx="4">
                  <c:v>5601977</c:v>
                </c:pt>
                <c:pt idx="5">
                  <c:v>49018284</c:v>
                </c:pt>
                <c:pt idx="6">
                  <c:v>447045794</c:v>
                </c:pt>
                <c:pt idx="7">
                  <c:v>4134934663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91-4D8E-9E83-FE56D106956E}"/>
            </c:ext>
          </c:extLst>
        </c:ser>
        <c:ser>
          <c:idx val="3"/>
          <c:order val="3"/>
          <c:tx>
            <c:strRef>
              <c:f>Graficos!$E$1</c:f>
              <c:strCache>
                <c:ptCount val="1"/>
                <c:pt idx="0">
                  <c:v>Atkin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Graficos!$E$2:$E$9</c:f>
              <c:numCache>
                <c:formatCode>General</c:formatCode>
                <c:ptCount val="8"/>
                <c:pt idx="0">
                  <c:v>172</c:v>
                </c:pt>
                <c:pt idx="1">
                  <c:v>1484</c:v>
                </c:pt>
                <c:pt idx="2">
                  <c:v>16422</c:v>
                </c:pt>
                <c:pt idx="3">
                  <c:v>165063</c:v>
                </c:pt>
                <c:pt idx="4">
                  <c:v>1668222</c:v>
                </c:pt>
                <c:pt idx="5">
                  <c:v>16645094</c:v>
                </c:pt>
                <c:pt idx="6">
                  <c:v>166528644</c:v>
                </c:pt>
                <c:pt idx="7">
                  <c:v>1664246688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91-4D8E-9E83-FE56D1069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343776"/>
        <c:axId val="1070359264"/>
      </c:scatterChart>
      <c:valAx>
        <c:axId val="1070343776"/>
        <c:scaling>
          <c:orientation val="minMax"/>
          <c:max val="1000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0359264"/>
        <c:crosses val="autoZero"/>
        <c:crossBetween val="midCat"/>
        <c:majorUnit val="10000000"/>
        <c:minorUnit val="1000000"/>
      </c:valAx>
      <c:valAx>
        <c:axId val="1070359264"/>
        <c:scaling>
          <c:logBase val="10"/>
          <c:orientation val="minMax"/>
          <c:max val="50000000000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0343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62159887397883"/>
          <c:y val="0.952031596645878"/>
          <c:w val="0.49898224781025019"/>
          <c:h val="4.7968403354122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Divisibilidad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F-49A3-9872-3F8FDC012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040367"/>
        <c:axId val="1253043247"/>
      </c:scatterChart>
      <c:valAx>
        <c:axId val="1253040367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53043247"/>
        <c:crosses val="autoZero"/>
        <c:crossBetween val="midCat"/>
      </c:valAx>
      <c:valAx>
        <c:axId val="12530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5304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Graficos!$C$1</c:f>
              <c:strCache>
                <c:ptCount val="1"/>
                <c:pt idx="0">
                  <c:v>Eratóstenes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Graficos!$C$2:$C$9</c:f>
              <c:numCache>
                <c:formatCode>General</c:formatCode>
                <c:ptCount val="8"/>
                <c:pt idx="0">
                  <c:v>63</c:v>
                </c:pt>
                <c:pt idx="1">
                  <c:v>676</c:v>
                </c:pt>
                <c:pt idx="2">
                  <c:v>7517</c:v>
                </c:pt>
                <c:pt idx="3">
                  <c:v>82523</c:v>
                </c:pt>
                <c:pt idx="4">
                  <c:v>889905</c:v>
                </c:pt>
                <c:pt idx="5">
                  <c:v>9447979</c:v>
                </c:pt>
                <c:pt idx="6">
                  <c:v>99225111</c:v>
                </c:pt>
                <c:pt idx="7">
                  <c:v>1033504526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1-4CC9-B25E-CF52F857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877359"/>
        <c:axId val="1651876879"/>
      </c:scatterChart>
      <c:valAx>
        <c:axId val="1651877359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651876879"/>
        <c:crosses val="autoZero"/>
        <c:crossBetween val="midCat"/>
      </c:valAx>
      <c:valAx>
        <c:axId val="165187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65187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Graficos!$D$1</c:f>
              <c:strCache>
                <c:ptCount val="1"/>
                <c:pt idx="0">
                  <c:v>Miller-Rabin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Graficos!$D$2:$D$9</c:f>
              <c:numCache>
                <c:formatCode>General</c:formatCode>
                <c:ptCount val="8"/>
                <c:pt idx="0">
                  <c:v>1238</c:v>
                </c:pt>
                <c:pt idx="1">
                  <c:v>10732</c:v>
                </c:pt>
                <c:pt idx="2">
                  <c:v>82280</c:v>
                </c:pt>
                <c:pt idx="3">
                  <c:v>659981</c:v>
                </c:pt>
                <c:pt idx="4">
                  <c:v>5601977</c:v>
                </c:pt>
                <c:pt idx="5">
                  <c:v>49018284</c:v>
                </c:pt>
                <c:pt idx="6">
                  <c:v>447045794</c:v>
                </c:pt>
                <c:pt idx="7">
                  <c:v>4134934663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9-4639-A2DE-26DCC5B24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364127"/>
        <c:axId val="2068361727"/>
      </c:scatterChart>
      <c:valAx>
        <c:axId val="2068364127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68361727"/>
        <c:crosses val="autoZero"/>
        <c:crossBetween val="midCat"/>
      </c:valAx>
      <c:valAx>
        <c:axId val="20683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6836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Graficos!$E$1</c:f>
              <c:strCache>
                <c:ptCount val="1"/>
                <c:pt idx="0">
                  <c:v>Atkin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Graficos!$A$2:$A$9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Graficos!$E$2:$E$9</c:f>
              <c:numCache>
                <c:formatCode>General</c:formatCode>
                <c:ptCount val="8"/>
                <c:pt idx="0">
                  <c:v>172</c:v>
                </c:pt>
                <c:pt idx="1">
                  <c:v>1484</c:v>
                </c:pt>
                <c:pt idx="2">
                  <c:v>16422</c:v>
                </c:pt>
                <c:pt idx="3">
                  <c:v>165063</c:v>
                </c:pt>
                <c:pt idx="4">
                  <c:v>1668222</c:v>
                </c:pt>
                <c:pt idx="5">
                  <c:v>16645094</c:v>
                </c:pt>
                <c:pt idx="6">
                  <c:v>166528644</c:v>
                </c:pt>
                <c:pt idx="7">
                  <c:v>1664246688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CA-40F4-9D1D-B5DA3318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99376"/>
        <c:axId val="197398416"/>
      </c:scatterChart>
      <c:valAx>
        <c:axId val="197399376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7398416"/>
        <c:crosses val="autoZero"/>
        <c:crossBetween val="midCat"/>
      </c:valAx>
      <c:valAx>
        <c:axId val="1973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739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88616</xdr:colOff>
      <xdr:row>45</xdr:row>
      <xdr:rowOff>119233</xdr:rowOff>
    </xdr:from>
    <xdr:to>
      <xdr:col>8</xdr:col>
      <xdr:colOff>194820</xdr:colOff>
      <xdr:row>69</xdr:row>
      <xdr:rowOff>163405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27008-0BBC-60DC-FAC6-085D8F079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30727</xdr:colOff>
      <xdr:row>45</xdr:row>
      <xdr:rowOff>151640</xdr:rowOff>
    </xdr:from>
    <xdr:to>
      <xdr:col>19</xdr:col>
      <xdr:colOff>205316</xdr:colOff>
      <xdr:row>70</xdr:row>
      <xdr:rowOff>16262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F95FC-2230-44DE-AD4F-19AE58C43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123305</xdr:colOff>
      <xdr:row>46</xdr:row>
      <xdr:rowOff>27115</xdr:rowOff>
    </xdr:from>
    <xdr:to>
      <xdr:col>30</xdr:col>
      <xdr:colOff>290469</xdr:colOff>
      <xdr:row>70</xdr:row>
      <xdr:rowOff>79007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62FCC-3835-49E3-B5BD-FB007399C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576594</xdr:colOff>
      <xdr:row>0</xdr:row>
      <xdr:rowOff>123876</xdr:rowOff>
    </xdr:from>
    <xdr:to>
      <xdr:col>13</xdr:col>
      <xdr:colOff>272609</xdr:colOff>
      <xdr:row>15</xdr:row>
      <xdr:rowOff>177664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7BD6CD-9909-7351-FD21-D4460A404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32657</xdr:colOff>
      <xdr:row>0</xdr:row>
      <xdr:rowOff>125187</xdr:rowOff>
    </xdr:from>
    <xdr:to>
      <xdr:col>21</xdr:col>
      <xdr:colOff>337457</xdr:colOff>
      <xdr:row>15</xdr:row>
      <xdr:rowOff>92530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5209CA-1D87-AED9-F01A-19AE80CA5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576943</xdr:colOff>
      <xdr:row>16</xdr:row>
      <xdr:rowOff>179615</xdr:rowOff>
    </xdr:from>
    <xdr:to>
      <xdr:col>13</xdr:col>
      <xdr:colOff>272143</xdr:colOff>
      <xdr:row>31</xdr:row>
      <xdr:rowOff>146958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3B2681-D5E4-3D95-BE37-195078824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130629</xdr:colOff>
      <xdr:row>17</xdr:row>
      <xdr:rowOff>5442</xdr:rowOff>
    </xdr:from>
    <xdr:to>
      <xdr:col>5</xdr:col>
      <xdr:colOff>54429</xdr:colOff>
      <xdr:row>31</xdr:row>
      <xdr:rowOff>157842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B56D3E-E493-D608-45D9-79ACEEC7F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A9057C4-CDDB-4F57-A2C5-4356494F2382}" autoFormatId="16" applyNumberFormats="0" applyBorderFormats="0" applyFontFormats="0" applyPatternFormats="0" applyAlignmentFormats="0" applyWidthHeightFormats="0">
  <queryTableRefresh nextId="7">
    <queryTableFields count="6">
      <queryTableField id="1" name="Tamaño" tableColumnId="1"/>
      <queryTableField id="2" name="Asignaciones" tableColumnId="2"/>
      <queryTableField id="3" name="Comparaciones" tableColumnId="3"/>
      <queryTableField id="4" name="Cantidad de líneas ejecutadas (Suma asig + comp)" tableColumnId="4"/>
      <queryTableField id="5" name="Tiempo de ejecución (ms)" tableColumnId="5"/>
      <queryTableField id="6" name="Cantidad de líneas del códig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1C8F62-05C8-489B-B57E-AC031D6CBF90}" autoFormatId="16" applyNumberFormats="0" applyBorderFormats="0" applyFontFormats="0" applyPatternFormats="0" applyAlignmentFormats="0" applyWidthHeightFormats="0">
  <queryTableRefresh nextId="9">
    <queryTableFields count="6">
      <queryTableField id="1" name="Tamaño" tableColumnId="1"/>
      <queryTableField id="2" name="Asignaciones" tableColumnId="2"/>
      <queryTableField id="3" name="Comparaciones" tableColumnId="3"/>
      <queryTableField id="7" name="Líneas ejecutadas" tableColumnId="4"/>
      <queryTableField id="5" name="Tiempo de ejecución (ms)" tableColumnId="5"/>
      <queryTableField id="6" name="Cantidad de líneas del código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D2AB5F-65F4-4168-8777-B18B22689845}" autoFormatId="16" applyNumberFormats="0" applyBorderFormats="0" applyFontFormats="0" applyPatternFormats="0" applyAlignmentFormats="0" applyWidthHeightFormats="0">
  <queryTableRefresh nextId="7">
    <queryTableFields count="6">
      <queryTableField id="1" name="Tamaño" tableColumnId="1"/>
      <queryTableField id="2" name="Asignaciones" tableColumnId="2"/>
      <queryTableField id="3" name="Comparaciones" tableColumnId="3"/>
      <queryTableField id="4" name="Cantidad de líneas ejecutadas (Suma asig + comp)" tableColumnId="4"/>
      <queryTableField id="5" name="Tiempo de ejecución (ms)" tableColumnId="5"/>
      <queryTableField id="6" name="Cantidad de líneas del código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458D589-EC42-46B5-A131-BBC3EDAE297F}" autoFormatId="16" applyNumberFormats="0" applyBorderFormats="0" applyFontFormats="0" applyPatternFormats="0" applyAlignmentFormats="0" applyWidthHeightFormats="0">
  <queryTableRefresh nextId="7">
    <queryTableFields count="6">
      <queryTableField id="1" name="Tamaño" tableColumnId="1"/>
      <queryTableField id="2" name="Asignaciones" tableColumnId="2"/>
      <queryTableField id="3" name="Comparaciones" tableColumnId="3"/>
      <queryTableField id="4" name="Cantidad de líneas ejecutadas (Suma asig + comp)" tableColumnId="4"/>
      <queryTableField id="5" name="Tiempo de ejecución (ms)" tableColumnId="5"/>
      <queryTableField id="6" name="Cantidad de líneas del código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C92CFD8-E6BD-4FA6-96A3-A8D3AF006474}" autoFormatId="16" applyNumberFormats="0" applyBorderFormats="0" applyFontFormats="0" applyPatternFormats="0" applyAlignmentFormats="0" applyWidthHeightFormats="0">
  <queryTableRefresh nextId="7">
    <queryTableFields count="6">
      <queryTableField id="1" name="Tamaño" tableColumnId="1"/>
      <queryTableField id="2" name="Asignaciones" tableColumnId="2"/>
      <queryTableField id="3" name="Comparaciones" tableColumnId="3"/>
      <queryTableField id="4" name="Cantidad de líneas ejecutadas (Suma asig + comp)" tableColumnId="4"/>
      <queryTableField id="5" name="Tiempo de ejecución (ms)" tableColumnId="5"/>
      <queryTableField id="6" name="Cantidad de líneas del código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68B9B6-8905-4DD4-A71D-6CD1D2EADC1E}" name="Resultados_1_Divisi_n_por_tentativa_optimizado10" displayName="Resultados_1_Divisi_n_por_tentativa_optimizado10" ref="A1:F9" totalsRowShown="0">
  <autoFilter ref="A1:F9" xr:uid="{4C68B9B6-8905-4DD4-A71D-6CD1D2EADC1E}"/>
  <tableColumns count="6">
    <tableColumn id="1" xr3:uid="{38DBAE0C-B132-461F-A9BC-6D34CB436428}" name="Tamaño"/>
    <tableColumn id="2" xr3:uid="{6E0FBF2A-13F4-42F3-8834-40886F39074B}" name="Asignaciones"/>
    <tableColumn id="3" xr3:uid="{D07EB487-7E4C-4748-BF4D-D4EE56507DF7}" name="Comparaciones"/>
    <tableColumn id="4" xr3:uid="{4F6D801B-5ACF-4786-BBD3-F746DF0262D2}" name="Cantidad de líneas ejecutadas (Suma asig + comp)"/>
    <tableColumn id="5" xr3:uid="{1D8B9298-9938-4B22-96D9-64E8AAC5FC03}" name="Tiempo de ejecución (ms)"/>
    <tableColumn id="6" xr3:uid="{55D0B5DF-C9EE-4F00-80F2-D78050BC9E8A}" name="Cantidad de líneas del códig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8ED428-6CE7-467F-9667-5AE29EA31218}" name="Resultados_2_Criba_de_Erat_stenes11" displayName="Resultados_2_Criba_de_Erat_stenes11" ref="A12:F20" tableType="queryTable" totalsRowShown="0">
  <autoFilter ref="A12:F20" xr:uid="{BE8ED428-6CE7-467F-9667-5AE29EA31218}"/>
  <tableColumns count="6">
    <tableColumn id="1" xr3:uid="{83FCEC86-8691-41D8-A6ED-292578325E75}" uniqueName="1" name="Tamaño" queryTableFieldId="1"/>
    <tableColumn id="2" xr3:uid="{7332CBA6-A85F-4C9D-ADFD-35219596F94A}" uniqueName="2" name="Asignaciones" queryTableFieldId="2"/>
    <tableColumn id="3" xr3:uid="{DDE37A42-A413-4A12-86E7-7F84E858792A}" uniqueName="3" name="Comparaciones" queryTableFieldId="3"/>
    <tableColumn id="4" xr3:uid="{876AADB3-BC88-4CAE-B8EC-04EE2C32715E}" uniqueName="4" name="Cantidad de líneas ejecutadas (Suma asig + comp)" queryTableFieldId="4"/>
    <tableColumn id="5" xr3:uid="{BA6A4365-8A86-4ADD-908A-7879EEE50248}" uniqueName="5" name="Tiempo de ejecución (ms)" queryTableFieldId="5"/>
    <tableColumn id="6" xr3:uid="{309C223E-E11B-459B-B30C-B85D3D69ED71}" uniqueName="6" name="Cantidad de líneas del código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819F87-DD4A-4A3D-BC6E-AA794B86F334}" name="Table4" displayName="Table4" ref="A1:E9" totalsRowShown="0">
  <autoFilter ref="A1:E9" xr:uid="{13819F87-DD4A-4A3D-BC6E-AA794B86F334}"/>
  <tableColumns count="5">
    <tableColumn id="1" xr3:uid="{676D18AF-8132-42D7-81E5-FEC1F6996AB9}" name="Tamaño"/>
    <tableColumn id="2" xr3:uid="{12EAA182-9A8F-49A3-8410-CD053F604826}" name="Divisibilidad">
      <calculatedColumnFormula>INDEX(Resultados_1_Divisi_n_por_tenta!#REF!,MATCH(Graficos!A2,Resultados_1_Divisi_n_por_tenta!A2:A9,0))</calculatedColumnFormula>
    </tableColumn>
    <tableColumn id="3" xr3:uid="{5D5B113E-B30D-4469-BBE8-8083191C2CD9}" name="Eratóstenes">
      <calculatedColumnFormula>INDEX(Resultados_2_Criba_de_Erat_stenes[Cantidad de líneas ejecutadas (Suma asig + comp)],MATCH(A2,Resultados_2_Criba_de_Erat_stenes[Tamaño],0))</calculatedColumnFormula>
    </tableColumn>
    <tableColumn id="4" xr3:uid="{327C576C-0E17-4F19-BBB7-AD05B90430EA}" name="Miller-Rabin">
      <calculatedColumnFormula>INDEX(Resultados_4_Miller_Rabin[Cantidad de líneas ejecutadas (Suma asig + comp)],MATCH(A2,Resultados_4_Miller_Rabin[Tamaño],0))</calculatedColumnFormula>
    </tableColumn>
    <tableColumn id="5" xr3:uid="{6796CFC9-CBF7-4D8D-891C-BA04419B3642}" name="Atkin">
      <calculatedColumnFormula>INDEX(Resultados_3_Criba_de_Atkin[Cantidad de líneas ejecutadas (Suma asig + comp)],MATCH(A2,Resultados_3_Criba_de_Atkin[Tamaño],0))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89C05-7049-4172-8065-A74212BAEE66}" name="Resultados_1_Divisi_n_por_tentativa_optimizado" displayName="Resultados_1_Divisi_n_por_tentativa_optimizado" ref="A1:F9" tableType="queryTable" totalsRowShown="0">
  <autoFilter ref="A1:F9" xr:uid="{E6F89C05-7049-4172-8065-A74212BAEE66}"/>
  <tableColumns count="6">
    <tableColumn id="1" xr3:uid="{0B7F67C5-46A7-43DF-884A-BF2181D1B322}" uniqueName="1" name="Tamaño" queryTableFieldId="1"/>
    <tableColumn id="2" xr3:uid="{1490B698-C5F2-4173-8A9E-DAB181806BE3}" uniqueName="2" name="Asignaciones" queryTableFieldId="2"/>
    <tableColumn id="3" xr3:uid="{8969E16C-6ED9-4BCD-BE28-A6A9C3B7E598}" uniqueName="3" name="Comparaciones" queryTableFieldId="3"/>
    <tableColumn id="4" xr3:uid="{5822A0EB-A86E-44DF-9707-720D45E92E2F}" uniqueName="4" name="Líneas ejecutadas" queryTableFieldId="7"/>
    <tableColumn id="5" xr3:uid="{76761507-B879-4B35-A2CE-B6BCD286C63E}" uniqueName="5" name="Tiempo de ejecución (ms)" queryTableFieldId="5"/>
    <tableColumn id="6" xr3:uid="{B2F1F349-40AC-4F75-9BDC-3E239F81AC39}" uniqueName="6" name="Cantidad de líneas del código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31D1E3-E1B2-49E0-ADAC-B09DDBE39918}" name="Resultados_2_Criba_de_Erat_stenes" displayName="Resultados_2_Criba_de_Erat_stenes" ref="A1:F9" tableType="queryTable" totalsRowShown="0">
  <autoFilter ref="A1:F9" xr:uid="{AA31D1E3-E1B2-49E0-ADAC-B09DDBE39918}"/>
  <tableColumns count="6">
    <tableColumn id="1" xr3:uid="{B116F987-AB55-4BED-BDD9-FED1239F0CA7}" uniqueName="1" name="Tamaño" queryTableFieldId="1"/>
    <tableColumn id="2" xr3:uid="{A4AA515B-3F35-4788-B757-9405728662D9}" uniqueName="2" name="Asignaciones" queryTableFieldId="2"/>
    <tableColumn id="3" xr3:uid="{C736CBDC-89FA-4A7D-A0F9-F2022EF0CAC1}" uniqueName="3" name="Comparaciones" queryTableFieldId="3"/>
    <tableColumn id="4" xr3:uid="{D2B72088-5A91-4881-BF4D-4E0E6192AC4D}" uniqueName="4" name="Cantidad de líneas ejecutadas (Suma asig + comp)" queryTableFieldId="4"/>
    <tableColumn id="5" xr3:uid="{8E209AD5-EBE4-49E3-9619-DEE4E30655C0}" uniqueName="5" name="Tiempo de ejecución (ms)" queryTableFieldId="5"/>
    <tableColumn id="6" xr3:uid="{65B9E692-9E6A-469A-8186-7CD68481D8ED}" uniqueName="6" name="Cantidad de líneas del código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32017E-3230-4DA7-8648-B55F4F9CEF1B}" name="Resultados_3_Criba_de_Atkin" displayName="Resultados_3_Criba_de_Atkin" ref="A1:F9" tableType="queryTable" totalsRowShown="0">
  <autoFilter ref="A1:F9" xr:uid="{F432017E-3230-4DA7-8648-B55F4F9CEF1B}"/>
  <tableColumns count="6">
    <tableColumn id="1" xr3:uid="{EA67A8D5-707B-4ED4-89E4-CA9A4A240DCB}" uniqueName="1" name="Tamaño" queryTableFieldId="1"/>
    <tableColumn id="2" xr3:uid="{19E496EB-A9E2-4F43-B9A3-ABA23D50E051}" uniqueName="2" name="Asignaciones" queryTableFieldId="2"/>
    <tableColumn id="3" xr3:uid="{6352B0EB-9FE0-411D-8169-87AB35BB98DF}" uniqueName="3" name="Comparaciones" queryTableFieldId="3"/>
    <tableColumn id="4" xr3:uid="{D91AC4AB-A1D3-4776-8C41-69FE8C818905}" uniqueName="4" name="Cantidad de líneas ejecutadas (Suma asig + comp)" queryTableFieldId="4"/>
    <tableColumn id="5" xr3:uid="{6A2EC150-5CD4-4099-B515-9D6CBCDD7940}" uniqueName="5" name="Tiempo de ejecución (ms)" queryTableFieldId="5"/>
    <tableColumn id="6" xr3:uid="{3B150903-6798-438E-B9D6-107687D6AE86}" uniqueName="6" name="Cantidad de líneas del código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0C421D-9C9E-43F4-8C27-04F6AED871FA}" name="Resultados_4_Miller_Rabin" displayName="Resultados_4_Miller_Rabin" ref="A1:F9" tableType="queryTable" totalsRowShown="0">
  <autoFilter ref="A1:F9" xr:uid="{930C421D-9C9E-43F4-8C27-04F6AED871FA}"/>
  <tableColumns count="6">
    <tableColumn id="1" xr3:uid="{6FEEE177-1A33-4233-8359-452CC547E2DB}" uniqueName="1" name="Tamaño" queryTableFieldId="1"/>
    <tableColumn id="2" xr3:uid="{DA4637CF-E9C9-4D3E-B5CA-96E489925B91}" uniqueName="2" name="Asignaciones" queryTableFieldId="2"/>
    <tableColumn id="3" xr3:uid="{BBD3E7A2-9397-4F89-978D-5DE37639F13D}" uniqueName="3" name="Comparaciones" queryTableFieldId="3"/>
    <tableColumn id="4" xr3:uid="{0260B75A-72F0-4E14-9D13-FAE7A53D5749}" uniqueName="4" name="Cantidad de líneas ejecutadas (Suma asig + comp)" queryTableFieldId="4"/>
    <tableColumn id="5" xr3:uid="{920D7F1D-E39C-485F-9052-0ABF5AEE7B5B}" uniqueName="5" name="Tiempo de ejecución (ms)" queryTableFieldId="5"/>
    <tableColumn id="6" xr3:uid="{F24A2905-4863-499F-80CC-98F4E3A525DF}" uniqueName="6" name="Cantidad de líneas del códig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3151-FE89-4F45-A834-0AC1EA197E5D}">
  <dimension ref="A1:F20"/>
  <sheetViews>
    <sheetView workbookViewId="0">
      <selection activeCell="A12" sqref="A12:F20"/>
    </sheetView>
  </sheetViews>
  <sheetFormatPr defaultRowHeight="14.4" x14ac:dyDescent="0.3"/>
  <cols>
    <col min="1" max="1" width="10" bestFit="1" customWidth="1"/>
    <col min="2" max="2" width="14.109375" bestFit="1" customWidth="1"/>
    <col min="3" max="3" width="16.44140625" bestFit="1" customWidth="1"/>
    <col min="4" max="4" width="45.6640625" bestFit="1" customWidth="1"/>
    <col min="5" max="5" width="24.88671875" bestFit="1" customWidth="1"/>
    <col min="6" max="6" width="2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16</v>
      </c>
      <c r="C2">
        <v>53</v>
      </c>
      <c r="D2">
        <v>69</v>
      </c>
      <c r="E2">
        <v>0</v>
      </c>
      <c r="F2">
        <v>15</v>
      </c>
    </row>
    <row r="3" spans="1:6" x14ac:dyDescent="0.3">
      <c r="A3">
        <v>100</v>
      </c>
      <c r="B3">
        <v>173</v>
      </c>
      <c r="C3">
        <v>689</v>
      </c>
      <c r="D3">
        <v>862</v>
      </c>
      <c r="E3">
        <v>0</v>
      </c>
      <c r="F3">
        <v>15</v>
      </c>
    </row>
    <row r="4" spans="1:6" x14ac:dyDescent="0.3">
      <c r="A4">
        <v>1000</v>
      </c>
      <c r="B4">
        <v>2097</v>
      </c>
      <c r="C4">
        <v>8446</v>
      </c>
      <c r="D4">
        <v>10543</v>
      </c>
      <c r="E4">
        <v>0</v>
      </c>
      <c r="F4">
        <v>15</v>
      </c>
    </row>
    <row r="5" spans="1:6" x14ac:dyDescent="0.3">
      <c r="A5">
        <v>10000</v>
      </c>
      <c r="B5">
        <v>30964</v>
      </c>
      <c r="C5">
        <v>116742</v>
      </c>
      <c r="D5">
        <v>147706</v>
      </c>
      <c r="E5">
        <v>1</v>
      </c>
      <c r="F5">
        <v>15</v>
      </c>
    </row>
    <row r="6" spans="1:6" x14ac:dyDescent="0.3">
      <c r="A6">
        <v>100000</v>
      </c>
      <c r="B6">
        <v>566776</v>
      </c>
      <c r="C6">
        <v>1952363</v>
      </c>
      <c r="D6">
        <v>2519139</v>
      </c>
      <c r="E6">
        <v>7</v>
      </c>
      <c r="F6">
        <v>15</v>
      </c>
    </row>
    <row r="7" spans="1:6" x14ac:dyDescent="0.3">
      <c r="A7">
        <v>1000000</v>
      </c>
      <c r="B7">
        <v>12351508</v>
      </c>
      <c r="C7">
        <v>39662029</v>
      </c>
      <c r="D7">
        <v>52013537</v>
      </c>
      <c r="E7">
        <v>64</v>
      </c>
      <c r="F7">
        <v>15</v>
      </c>
    </row>
    <row r="8" spans="1:6" x14ac:dyDescent="0.3">
      <c r="A8">
        <v>10000000</v>
      </c>
      <c r="B8">
        <v>301439428</v>
      </c>
      <c r="C8">
        <v>930995384</v>
      </c>
      <c r="D8">
        <v>1232434812</v>
      </c>
      <c r="E8">
        <v>1578</v>
      </c>
      <c r="F8">
        <v>15</v>
      </c>
    </row>
    <row r="9" spans="1:6" x14ac:dyDescent="0.3">
      <c r="A9">
        <v>100000000</v>
      </c>
      <c r="B9">
        <v>7856519406</v>
      </c>
      <c r="C9">
        <v>23840750938</v>
      </c>
      <c r="D9">
        <v>31697270344</v>
      </c>
      <c r="E9">
        <v>38306</v>
      </c>
      <c r="F9">
        <v>15</v>
      </c>
    </row>
    <row r="12" spans="1:6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</row>
    <row r="13" spans="1:6" x14ac:dyDescent="0.3">
      <c r="A13">
        <v>10</v>
      </c>
      <c r="B13">
        <v>32</v>
      </c>
      <c r="C13">
        <v>31</v>
      </c>
      <c r="D13">
        <v>63</v>
      </c>
      <c r="E13">
        <v>0</v>
      </c>
      <c r="F13">
        <v>11</v>
      </c>
    </row>
    <row r="14" spans="1:6" x14ac:dyDescent="0.3">
      <c r="A14">
        <v>100</v>
      </c>
      <c r="B14">
        <v>350</v>
      </c>
      <c r="C14">
        <v>326</v>
      </c>
      <c r="D14">
        <v>676</v>
      </c>
      <c r="E14">
        <v>0</v>
      </c>
      <c r="F14">
        <v>11</v>
      </c>
    </row>
    <row r="15" spans="1:6" x14ac:dyDescent="0.3">
      <c r="A15">
        <v>1000</v>
      </c>
      <c r="B15">
        <v>4035</v>
      </c>
      <c r="C15">
        <v>3482</v>
      </c>
      <c r="D15">
        <v>7517</v>
      </c>
      <c r="E15">
        <v>0</v>
      </c>
      <c r="F15">
        <v>11</v>
      </c>
    </row>
    <row r="16" spans="1:6" x14ac:dyDescent="0.3">
      <c r="A16">
        <v>10000</v>
      </c>
      <c r="B16">
        <v>45319</v>
      </c>
      <c r="C16">
        <v>37204</v>
      </c>
      <c r="D16">
        <v>82523</v>
      </c>
      <c r="E16">
        <v>1</v>
      </c>
      <c r="F16">
        <v>11</v>
      </c>
    </row>
    <row r="17" spans="1:6" x14ac:dyDescent="0.3">
      <c r="A17">
        <v>100000</v>
      </c>
      <c r="B17">
        <v>496132</v>
      </c>
      <c r="C17">
        <v>393773</v>
      </c>
      <c r="D17">
        <v>889905</v>
      </c>
      <c r="E17">
        <v>11</v>
      </c>
      <c r="F17">
        <v>11</v>
      </c>
    </row>
    <row r="18" spans="1:6" x14ac:dyDescent="0.3">
      <c r="A18">
        <v>1000000</v>
      </c>
      <c r="B18">
        <v>5323765</v>
      </c>
      <c r="C18">
        <v>4124214</v>
      </c>
      <c r="D18">
        <v>9447979</v>
      </c>
      <c r="E18">
        <v>21</v>
      </c>
      <c r="F18">
        <v>11</v>
      </c>
    </row>
    <row r="19" spans="1:6" x14ac:dyDescent="0.3">
      <c r="A19">
        <v>10000000</v>
      </c>
      <c r="B19">
        <v>56368292</v>
      </c>
      <c r="C19">
        <v>42856819</v>
      </c>
      <c r="D19">
        <v>99225111</v>
      </c>
      <c r="E19">
        <v>122</v>
      </c>
      <c r="F19">
        <v>11</v>
      </c>
    </row>
    <row r="20" spans="1:6" x14ac:dyDescent="0.3">
      <c r="A20">
        <v>100000000</v>
      </c>
      <c r="B20">
        <v>590913095</v>
      </c>
      <c r="C20">
        <v>442591431</v>
      </c>
      <c r="D20">
        <v>1033504526</v>
      </c>
      <c r="E20">
        <v>1454</v>
      </c>
      <c r="F20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1DBF-AD8F-4E6A-8195-D7A56ACF9783}">
  <dimension ref="A1:E9"/>
  <sheetViews>
    <sheetView zoomScale="70" zoomScaleNormal="70" workbookViewId="0">
      <selection activeCell="Q17" sqref="Q17"/>
    </sheetView>
  </sheetViews>
  <sheetFormatPr defaultRowHeight="14.4" x14ac:dyDescent="0.3"/>
  <cols>
    <col min="1" max="1" width="14.44140625" customWidth="1"/>
    <col min="2" max="2" width="17.5546875" customWidth="1"/>
    <col min="3" max="3" width="14.5546875" bestFit="1" customWidth="1"/>
    <col min="4" max="4" width="14.6640625" bestFit="1" customWidth="1"/>
    <col min="5" max="5" width="12.21875" bestFit="1" customWidth="1"/>
  </cols>
  <sheetData>
    <row r="1" spans="1:5" x14ac:dyDescent="0.3">
      <c r="A1" t="s">
        <v>0</v>
      </c>
      <c r="B1" t="s">
        <v>8</v>
      </c>
      <c r="C1" t="s">
        <v>9</v>
      </c>
      <c r="D1" t="s">
        <v>6</v>
      </c>
      <c r="E1" t="s">
        <v>7</v>
      </c>
    </row>
    <row r="2" spans="1:5" x14ac:dyDescent="0.3">
      <c r="A2">
        <v>10</v>
      </c>
      <c r="B2" t="e">
        <f>INDEX(Resultados_1_Divisi_n_por_tenta!#REF!,MATCH(Graficos!A2,Resultados_1_Divisi_n_por_tenta!A2:A9,0))</f>
        <v>#REF!</v>
      </c>
      <c r="C2">
        <f>INDEX(Resultados_2_Criba_de_Erat_stenes[Cantidad de líneas ejecutadas (Suma asig + comp)],MATCH(A2,Resultados_2_Criba_de_Erat_stenes[Tamaño],0))</f>
        <v>63</v>
      </c>
      <c r="D2">
        <f>INDEX(Resultados_4_Miller_Rabin[Cantidad de líneas ejecutadas (Suma asig + comp)],MATCH(A2,Resultados_4_Miller_Rabin[Tamaño],0))</f>
        <v>1238</v>
      </c>
      <c r="E2">
        <f>INDEX(Resultados_3_Criba_de_Atkin[Cantidad de líneas ejecutadas (Suma asig + comp)],MATCH(A2,Resultados_3_Criba_de_Atkin[Tamaño],0))</f>
        <v>172</v>
      </c>
    </row>
    <row r="3" spans="1:5" x14ac:dyDescent="0.3">
      <c r="A3">
        <v>100</v>
      </c>
      <c r="B3">
        <f>INDEX(Resultados_1_Divisi_n_por_tenta!D10:D10,MATCH(Graficos!A3,Resultados_1_Divisi_n_por_tenta!A3:A10,0))</f>
        <v>0</v>
      </c>
      <c r="C3">
        <f>INDEX(Resultados_2_Criba_de_Erat_stenes[Cantidad de líneas ejecutadas (Suma asig + comp)],MATCH(A3,Resultados_2_Criba_de_Erat_stenes[Tamaño],0))</f>
        <v>676</v>
      </c>
      <c r="D3">
        <f>INDEX(Resultados_4_Miller_Rabin[Cantidad de líneas ejecutadas (Suma asig + comp)],MATCH(A3,Resultados_4_Miller_Rabin[Tamaño],0))</f>
        <v>10732</v>
      </c>
      <c r="E3">
        <f>INDEX(Resultados_3_Criba_de_Atkin[Cantidad de líneas ejecutadas (Suma asig + comp)],MATCH(A3,Resultados_3_Criba_de_Atkin[Tamaño],0))</f>
        <v>1484</v>
      </c>
    </row>
    <row r="4" spans="1:5" x14ac:dyDescent="0.3">
      <c r="A4">
        <v>1000</v>
      </c>
      <c r="B4">
        <f>INDEX(Resultados_1_Divisi_n_por_tenta!D10:D11,MATCH(Graficos!A4,Resultados_1_Divisi_n_por_tenta!A4:A11,0))</f>
        <v>0</v>
      </c>
      <c r="C4">
        <f>INDEX(Resultados_2_Criba_de_Erat_stenes[Cantidad de líneas ejecutadas (Suma asig + comp)],MATCH(A4,Resultados_2_Criba_de_Erat_stenes[Tamaño],0))</f>
        <v>7517</v>
      </c>
      <c r="D4">
        <f>INDEX(Resultados_4_Miller_Rabin[Cantidad de líneas ejecutadas (Suma asig + comp)],MATCH(A4,Resultados_4_Miller_Rabin[Tamaño],0))</f>
        <v>82280</v>
      </c>
      <c r="E4">
        <f>INDEX(Resultados_3_Criba_de_Atkin[Cantidad de líneas ejecutadas (Suma asig + comp)],MATCH(A4,Resultados_3_Criba_de_Atkin[Tamaño],0))</f>
        <v>16422</v>
      </c>
    </row>
    <row r="5" spans="1:5" x14ac:dyDescent="0.3">
      <c r="A5">
        <v>10000</v>
      </c>
      <c r="B5">
        <f>INDEX(Resultados_1_Divisi_n_por_tenta!D10:D12,MATCH(Graficos!A5,Resultados_1_Divisi_n_por_tenta!A5:A12,0))</f>
        <v>0</v>
      </c>
      <c r="C5">
        <f>INDEX(Resultados_2_Criba_de_Erat_stenes[Cantidad de líneas ejecutadas (Suma asig + comp)],MATCH(A5,Resultados_2_Criba_de_Erat_stenes[Tamaño],0))</f>
        <v>82523</v>
      </c>
      <c r="D5">
        <f>INDEX(Resultados_4_Miller_Rabin[Cantidad de líneas ejecutadas (Suma asig + comp)],MATCH(A5,Resultados_4_Miller_Rabin[Tamaño],0))</f>
        <v>659981</v>
      </c>
      <c r="E5">
        <f>INDEX(Resultados_3_Criba_de_Atkin[Cantidad de líneas ejecutadas (Suma asig + comp)],MATCH(A5,Resultados_3_Criba_de_Atkin[Tamaño],0))</f>
        <v>165063</v>
      </c>
    </row>
    <row r="6" spans="1:5" x14ac:dyDescent="0.3">
      <c r="A6">
        <v>100000</v>
      </c>
      <c r="B6">
        <f>INDEX(Resultados_1_Divisi_n_por_tenta!D10:D13,MATCH(Graficos!A6,Resultados_1_Divisi_n_por_tenta!A6:A13,0))</f>
        <v>0</v>
      </c>
      <c r="C6">
        <f>INDEX(Resultados_2_Criba_de_Erat_stenes[Cantidad de líneas ejecutadas (Suma asig + comp)],MATCH(A6,Resultados_2_Criba_de_Erat_stenes[Tamaño],0))</f>
        <v>889905</v>
      </c>
      <c r="D6">
        <f>INDEX(Resultados_4_Miller_Rabin[Cantidad de líneas ejecutadas (Suma asig + comp)],MATCH(A6,Resultados_4_Miller_Rabin[Tamaño],0))</f>
        <v>5601977</v>
      </c>
      <c r="E6">
        <f>INDEX(Resultados_3_Criba_de_Atkin[Cantidad de líneas ejecutadas (Suma asig + comp)],MATCH(A6,Resultados_3_Criba_de_Atkin[Tamaño],0))</f>
        <v>1668222</v>
      </c>
    </row>
    <row r="7" spans="1:5" x14ac:dyDescent="0.3">
      <c r="A7">
        <v>1000000</v>
      </c>
      <c r="B7">
        <f>INDEX(Resultados_1_Divisi_n_por_tenta!D10:D14,MATCH(Graficos!A7,Resultados_1_Divisi_n_por_tenta!A7:A14,0))</f>
        <v>0</v>
      </c>
      <c r="C7">
        <f>INDEX(Resultados_2_Criba_de_Erat_stenes[Cantidad de líneas ejecutadas (Suma asig + comp)],MATCH(A7,Resultados_2_Criba_de_Erat_stenes[Tamaño],0))</f>
        <v>9447979</v>
      </c>
      <c r="D7">
        <f>INDEX(Resultados_4_Miller_Rabin[Cantidad de líneas ejecutadas (Suma asig + comp)],MATCH(A7,Resultados_4_Miller_Rabin[Tamaño],0))</f>
        <v>49018284</v>
      </c>
      <c r="E7">
        <f>INDEX(Resultados_3_Criba_de_Atkin[Cantidad de líneas ejecutadas (Suma asig + comp)],MATCH(A7,Resultados_3_Criba_de_Atkin[Tamaño],0))</f>
        <v>16645094</v>
      </c>
    </row>
    <row r="8" spans="1:5" x14ac:dyDescent="0.3">
      <c r="A8">
        <v>10000000</v>
      </c>
      <c r="B8">
        <f>INDEX(Resultados_1_Divisi_n_por_tenta!D10:D15,MATCH(Graficos!A8,Resultados_1_Divisi_n_por_tenta!A8:A15,0))</f>
        <v>0</v>
      </c>
      <c r="C8">
        <f>INDEX(Resultados_2_Criba_de_Erat_stenes[Cantidad de líneas ejecutadas (Suma asig + comp)],MATCH(A8,Resultados_2_Criba_de_Erat_stenes[Tamaño],0))</f>
        <v>99225111</v>
      </c>
      <c r="D8">
        <f>INDEX(Resultados_4_Miller_Rabin[Cantidad de líneas ejecutadas (Suma asig + comp)],MATCH(A8,Resultados_4_Miller_Rabin[Tamaño],0))</f>
        <v>447045794</v>
      </c>
      <c r="E8">
        <f>INDEX(Resultados_3_Criba_de_Atkin[Cantidad de líneas ejecutadas (Suma asig + comp)],MATCH(A8,Resultados_3_Criba_de_Atkin[Tamaño],0))</f>
        <v>166528644</v>
      </c>
    </row>
    <row r="9" spans="1:5" x14ac:dyDescent="0.3">
      <c r="A9">
        <v>100000000</v>
      </c>
      <c r="B9">
        <f>INDEX(Resultados_1_Divisi_n_por_tenta!D10:D16,MATCH(Graficos!A9,Resultados_1_Divisi_n_por_tenta!A9:A16,0))</f>
        <v>0</v>
      </c>
      <c r="C9">
        <f>INDEX(Resultados_2_Criba_de_Erat_stenes[Cantidad de líneas ejecutadas (Suma asig + comp)],MATCH(A9,Resultados_2_Criba_de_Erat_stenes[Tamaño],0))</f>
        <v>1033504526</v>
      </c>
      <c r="D9">
        <f>INDEX(Resultados_4_Miller_Rabin[Cantidad de líneas ejecutadas (Suma asig + comp)],MATCH(A9,Resultados_4_Miller_Rabin[Tamaño],0))</f>
        <v>4134934663</v>
      </c>
      <c r="E9">
        <f>INDEX(Resultados_3_Criba_de_Atkin[Cantidad de líneas ejecutadas (Suma asig + comp)],MATCH(A9,Resultados_3_Criba_de_Atkin[Tamaño],0))</f>
        <v>1664246688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D1CC-36FF-4E30-8828-D9C6C428FDAA}">
  <dimension ref="A1:O13"/>
  <sheetViews>
    <sheetView tabSelected="1" zoomScale="85" zoomScaleNormal="85" workbookViewId="0">
      <selection activeCell="O3" sqref="O3"/>
    </sheetView>
  </sheetViews>
  <sheetFormatPr defaultRowHeight="14.4" x14ac:dyDescent="0.3"/>
  <cols>
    <col min="1" max="1" width="11.33203125" customWidth="1"/>
    <col min="2" max="2" width="11.88671875" customWidth="1"/>
    <col min="3" max="3" width="10" bestFit="1" customWidth="1"/>
    <col min="4" max="4" width="15" customWidth="1"/>
    <col min="5" max="5" width="13.77734375" customWidth="1"/>
    <col min="6" max="6" width="15.5546875" customWidth="1"/>
    <col min="7" max="7" width="18.109375" customWidth="1"/>
    <col min="9" max="9" width="11.33203125" customWidth="1"/>
    <col min="10" max="10" width="11.88671875" customWidth="1"/>
    <col min="11" max="11" width="10" bestFit="1" customWidth="1"/>
    <col min="12" max="12" width="15" customWidth="1"/>
    <col min="13" max="13" width="21.21875" customWidth="1"/>
    <col min="14" max="14" width="15.5546875" customWidth="1"/>
    <col min="15" max="15" width="18.109375" customWidth="1"/>
  </cols>
  <sheetData>
    <row r="1" spans="1:15" ht="40.200000000000003" customHeight="1" x14ac:dyDescent="0.3">
      <c r="A1" s="7" t="s">
        <v>16</v>
      </c>
      <c r="B1" s="7"/>
      <c r="C1" s="7"/>
      <c r="D1" s="7"/>
      <c r="E1" s="7"/>
      <c r="F1" s="7"/>
      <c r="G1" s="7"/>
      <c r="I1" s="7" t="s">
        <v>17</v>
      </c>
      <c r="J1" s="7"/>
      <c r="K1" s="7"/>
      <c r="L1" s="7"/>
      <c r="M1" s="7"/>
      <c r="N1" s="7"/>
      <c r="O1" s="7"/>
    </row>
    <row r="2" spans="1:15" ht="43.2" x14ac:dyDescent="0.3">
      <c r="A2" s="2" t="s">
        <v>0</v>
      </c>
      <c r="B2" s="2"/>
      <c r="C2" s="3" t="s">
        <v>10</v>
      </c>
      <c r="D2" s="3" t="s">
        <v>11</v>
      </c>
      <c r="E2" s="6" t="s">
        <v>12</v>
      </c>
      <c r="F2" s="6" t="s">
        <v>13</v>
      </c>
      <c r="G2" s="6" t="s">
        <v>14</v>
      </c>
      <c r="I2" s="2" t="s">
        <v>0</v>
      </c>
      <c r="J2" s="2"/>
      <c r="K2" s="3" t="s">
        <v>10</v>
      </c>
      <c r="L2" s="3" t="s">
        <v>11</v>
      </c>
      <c r="M2" s="6" t="s">
        <v>12</v>
      </c>
      <c r="N2" s="6" t="s">
        <v>13</v>
      </c>
      <c r="O2" s="6" t="s">
        <v>14</v>
      </c>
    </row>
    <row r="3" spans="1:15" x14ac:dyDescent="0.3">
      <c r="A3" s="3">
        <v>10</v>
      </c>
      <c r="B3" s="3">
        <v>100</v>
      </c>
      <c r="C3">
        <f>B3/A3</f>
        <v>10</v>
      </c>
      <c r="D3" s="8">
        <f>INDEX(Resultados_1_Divisi_n_por_tentativa_optimizado[[#All],[Asignaciones]],MATCH($B3,Resultados_1_Divisi_n_por_tentativa_optimizado[[#All],[Tamaño]],0))/INDEX(Resultados_1_Divisi_n_por_tentativa_optimizado[[#All],[Asignaciones]],MATCH($A3,Resultados_1_Divisi_n_por_tentativa_optimizado[[#All],[Tamaño]],0))</f>
        <v>10.8125</v>
      </c>
      <c r="E3" s="8">
        <f>INDEX(Resultados_1_Divisi_n_por_tentativa_optimizado[[#All],[Comparaciones]],MATCH($B3,Resultados_1_Divisi_n_por_tentativa_optimizado[[#All],[Tamaño]],0))/INDEX(Resultados_1_Divisi_n_por_tentativa_optimizado[[#All],[Comparaciones]],MATCH($A3,Resultados_1_Divisi_n_por_tentativa_optimizado[[#All],[Tamaño]],0))</f>
        <v>13</v>
      </c>
      <c r="F3" s="8">
        <f>INDEX(Resultados_1_Divisi_n_por_tentativa_optimizado[[#All],[Líneas ejecutadas]],MATCH($B3,Resultados_1_Divisi_n_por_tentativa_optimizado[[#All],[Tamaño]],0))/INDEX(Resultados_1_Divisi_n_por_tentativa_optimizado[[#All],[Líneas ejecutadas]],MATCH($A3,Resultados_1_Divisi_n_por_tentativa_optimizado[[#All],[Tamaño]],0))</f>
        <v>12.492753623188406</v>
      </c>
      <c r="G3" s="8" t="e">
        <f>INDEX(Resultados_1_Divisi_n_por_tentativa_optimizado[[#All],[Tiempo de ejecución (ms)]],MATCH($B3,Resultados_1_Divisi_n_por_tentativa_optimizado[[#All],[Tamaño]],0))/INDEX(Resultados_1_Divisi_n_por_tentativa_optimizado[[#All],[Tiempo de ejecución (ms)]],MATCH($A3,Resultados_1_Divisi_n_por_tentativa_optimizado[[#All],[Tamaño]],0))</f>
        <v>#DIV/0!</v>
      </c>
      <c r="I3" s="3">
        <v>10</v>
      </c>
      <c r="J3" s="3">
        <v>100</v>
      </c>
      <c r="K3">
        <f>J3/I3</f>
        <v>10</v>
      </c>
      <c r="L3" s="8">
        <f>INDEX(Resultados_2_Criba_de_Erat_stenes[[#All],[Asignaciones]],MATCH($J3,Resultados_2_Criba_de_Erat_stenes[[#All],[Tamaño]],0))/INDEX(Resultados_2_Criba_de_Erat_stenes[[#All],[Asignaciones]],MATCH($I3,Resultados_2_Criba_de_Erat_stenes[[#All],[Tamaño]],0))</f>
        <v>10.9375</v>
      </c>
      <c r="M3" s="8">
        <f>INDEX(Resultados_2_Criba_de_Erat_stenes[[#All],[Comparaciones]],MATCH($J3,Resultados_2_Criba_de_Erat_stenes[[#All],[Tamaño]],0))/INDEX(Resultados_2_Criba_de_Erat_stenes[[#All],[Comparaciones]],MATCH($I3,Resultados_2_Criba_de_Erat_stenes[[#All],[Tamaño]],0))</f>
        <v>10.516129032258064</v>
      </c>
      <c r="N3" s="8">
        <f>INDEX(Resultados_2_Criba_de_Erat_stenes[[#All],[Cantidad de líneas ejecutadas (Suma asig + comp)]],MATCH($J3,Resultados_2_Criba_de_Erat_stenes[[#All],[Tamaño]],0))/INDEX(Resultados_2_Criba_de_Erat_stenes[[#All],[Cantidad de líneas ejecutadas (Suma asig + comp)]],MATCH($I3,Resultados_2_Criba_de_Erat_stenes[[#All],[Tamaño]],0))</f>
        <v>10.730158730158729</v>
      </c>
      <c r="O3" s="8" t="e">
        <f>INDEX(Resultados_2_Criba_de_Erat_stenes[[#All],[Tiempo de ejecución (ms)]],MATCH($J3,Resultados_2_Criba_de_Erat_stenes[[#All],[Tamaño]],0))/INDEX(Resultados_2_Criba_de_Erat_stenes[[#All],[Tiempo de ejecución (ms)]],MATCH($I3,Resultados_2_Criba_de_Erat_stenes[[#All],[Tamaño]],0))</f>
        <v>#DIV/0!</v>
      </c>
    </row>
    <row r="4" spans="1:15" x14ac:dyDescent="0.3">
      <c r="A4" s="3">
        <v>10</v>
      </c>
      <c r="B4" s="3">
        <v>1000</v>
      </c>
      <c r="C4">
        <f t="shared" ref="C4:C12" si="0">B4/A4</f>
        <v>100</v>
      </c>
      <c r="D4" s="8">
        <f>INDEX(Resultados_1_Divisi_n_por_tentativa_optimizado[[#All],[Asignaciones]],MATCH($B4,Resultados_1_Divisi_n_por_tentativa_optimizado[[#All],[Tamaño]],0))/INDEX(Resultados_1_Divisi_n_por_tentativa_optimizado[[#All],[Asignaciones]],MATCH($A4,Resultados_1_Divisi_n_por_tentativa_optimizado[[#All],[Tamaño]],0))</f>
        <v>131.0625</v>
      </c>
      <c r="E4" s="8">
        <f>INDEX(Resultados_1_Divisi_n_por_tentativa_optimizado[[#All],[Comparaciones]],MATCH($B4,Resultados_1_Divisi_n_por_tentativa_optimizado[[#All],[Tamaño]],0))/INDEX(Resultados_1_Divisi_n_por_tentativa_optimizado[[#All],[Comparaciones]],MATCH($A4,Resultados_1_Divisi_n_por_tentativa_optimizado[[#All],[Tamaño]],0))</f>
        <v>159.35849056603774</v>
      </c>
      <c r="F4" s="8">
        <f>INDEX(Resultados_1_Divisi_n_por_tentativa_optimizado[[#All],[Líneas ejecutadas]],MATCH($B4,Resultados_1_Divisi_n_por_tentativa_optimizado[[#All],[Tamaño]],0))/INDEX(Resultados_1_Divisi_n_por_tentativa_optimizado[[#All],[Líneas ejecutadas]],MATCH($A4,Resultados_1_Divisi_n_por_tentativa_optimizado[[#All],[Tamaño]],0))</f>
        <v>152.79710144927537</v>
      </c>
      <c r="G4" s="8" t="e">
        <f>INDEX(Resultados_1_Divisi_n_por_tentativa_optimizado[[#All],[Tiempo de ejecución (ms)]],MATCH($B4,Resultados_1_Divisi_n_por_tentativa_optimizado[[#All],[Tamaño]],0))/INDEX(Resultados_1_Divisi_n_por_tentativa_optimizado[[#All],[Tiempo de ejecución (ms)]],MATCH($A4,Resultados_1_Divisi_n_por_tentativa_optimizado[[#All],[Tamaño]],0))</f>
        <v>#DIV/0!</v>
      </c>
      <c r="I4" s="3">
        <v>10</v>
      </c>
      <c r="J4" s="3">
        <v>1000</v>
      </c>
      <c r="K4">
        <f t="shared" ref="K4:K12" si="1">J4/I4</f>
        <v>100</v>
      </c>
      <c r="L4" s="8">
        <f>INDEX(Resultados_2_Criba_de_Erat_stenes[[#All],[Asignaciones]],MATCH($B4,Resultados_2_Criba_de_Erat_stenes[[#All],[Tamaño]],0))/INDEX(Resultados_2_Criba_de_Erat_stenes[[#All],[Asignaciones]],MATCH($A4,Resultados_2_Criba_de_Erat_stenes[[#All],[Tamaño]],0))</f>
        <v>126.09375</v>
      </c>
      <c r="M4" s="8">
        <f>INDEX(Resultados_2_Criba_de_Erat_stenes[[#All],[Comparaciones]],MATCH($J4,Resultados_2_Criba_de_Erat_stenes[[#All],[Tamaño]],0))/INDEX(Resultados_2_Criba_de_Erat_stenes[[#All],[Comparaciones]],MATCH($I4,Resultados_2_Criba_de_Erat_stenes[[#All],[Tamaño]],0))</f>
        <v>112.3225806451613</v>
      </c>
      <c r="N4" s="8">
        <f>INDEX(Resultados_2_Criba_de_Erat_stenes[[#All],[Cantidad de líneas ejecutadas (Suma asig + comp)]],MATCH($J4,Resultados_2_Criba_de_Erat_stenes[[#All],[Tamaño]],0))/INDEX(Resultados_2_Criba_de_Erat_stenes[[#All],[Cantidad de líneas ejecutadas (Suma asig + comp)]],MATCH($I4,Resultados_2_Criba_de_Erat_stenes[[#All],[Tamaño]],0))</f>
        <v>119.31746031746032</v>
      </c>
      <c r="O4" s="8" t="e">
        <f>INDEX(Resultados_2_Criba_de_Erat_stenes[[#All],[Tiempo de ejecución (ms)]],MATCH($J4,Resultados_2_Criba_de_Erat_stenes[[#All],[Tamaño]],0))/INDEX(Resultados_2_Criba_de_Erat_stenes[[#All],[Tiempo de ejecución (ms)]],MATCH($I4,Resultados_2_Criba_de_Erat_stenes[[#All],[Tamaño]],0))</f>
        <v>#DIV/0!</v>
      </c>
    </row>
    <row r="5" spans="1:15" x14ac:dyDescent="0.3">
      <c r="A5" s="3">
        <v>10</v>
      </c>
      <c r="B5" s="3">
        <v>10000</v>
      </c>
      <c r="C5">
        <f t="shared" si="0"/>
        <v>1000</v>
      </c>
      <c r="D5" s="8">
        <f>INDEX(Resultados_1_Divisi_n_por_tentativa_optimizado[[#All],[Asignaciones]],MATCH($B5,Resultados_1_Divisi_n_por_tentativa_optimizado[[#All],[Tamaño]],0))/INDEX(Resultados_1_Divisi_n_por_tentativa_optimizado[[#All],[Asignaciones]],MATCH($A5,Resultados_1_Divisi_n_por_tentativa_optimizado[[#All],[Tamaño]],0))</f>
        <v>1935.25</v>
      </c>
      <c r="E5" s="8">
        <f>INDEX(Resultados_1_Divisi_n_por_tentativa_optimizado[[#All],[Comparaciones]],MATCH($B5,Resultados_1_Divisi_n_por_tentativa_optimizado[[#All],[Tamaño]],0))/INDEX(Resultados_1_Divisi_n_por_tentativa_optimizado[[#All],[Comparaciones]],MATCH($A5,Resultados_1_Divisi_n_por_tentativa_optimizado[[#All],[Tamaño]],0))</f>
        <v>2202.6792452830186</v>
      </c>
      <c r="F5" s="8">
        <f>INDEX(Resultados_1_Divisi_n_por_tentativa_optimizado[[#All],[Líneas ejecutadas]],MATCH($B5,Resultados_1_Divisi_n_por_tentativa_optimizado[[#All],[Tamaño]],0))/INDEX(Resultados_1_Divisi_n_por_tentativa_optimizado[[#All],[Líneas ejecutadas]],MATCH($A5,Resultados_1_Divisi_n_por_tentativa_optimizado[[#All],[Tamaño]],0))</f>
        <v>2140.6666666666665</v>
      </c>
      <c r="G5" s="8" t="e">
        <f>INDEX(Resultados_1_Divisi_n_por_tentativa_optimizado[[#All],[Tiempo de ejecución (ms)]],MATCH($B5,Resultados_1_Divisi_n_por_tentativa_optimizado[[#All],[Tamaño]],0))/INDEX(Resultados_1_Divisi_n_por_tentativa_optimizado[[#All],[Tiempo de ejecución (ms)]],MATCH($A5,Resultados_1_Divisi_n_por_tentativa_optimizado[[#All],[Tamaño]],0))</f>
        <v>#DIV/0!</v>
      </c>
      <c r="I5" s="3">
        <v>10</v>
      </c>
      <c r="J5" s="3">
        <v>10000</v>
      </c>
      <c r="K5">
        <f t="shared" si="1"/>
        <v>1000</v>
      </c>
      <c r="L5" s="8">
        <f>INDEX(Resultados_2_Criba_de_Erat_stenes[[#All],[Asignaciones]],MATCH($B5,Resultados_2_Criba_de_Erat_stenes[[#All],[Tamaño]],0))/INDEX(Resultados_2_Criba_de_Erat_stenes[[#All],[Asignaciones]],MATCH($A5,Resultados_2_Criba_de_Erat_stenes[[#All],[Tamaño]],0))</f>
        <v>1416.21875</v>
      </c>
      <c r="M5" s="8">
        <f>INDEX(Resultados_2_Criba_de_Erat_stenes[[#All],[Comparaciones]],MATCH($J5,Resultados_2_Criba_de_Erat_stenes[[#All],[Tamaño]],0))/INDEX(Resultados_2_Criba_de_Erat_stenes[[#All],[Comparaciones]],MATCH($I5,Resultados_2_Criba_de_Erat_stenes[[#All],[Tamaño]],0))</f>
        <v>1200.1290322580646</v>
      </c>
      <c r="N5" s="8">
        <f>INDEX(Resultados_2_Criba_de_Erat_stenes[[#All],[Cantidad de líneas ejecutadas (Suma asig + comp)]],MATCH($J5,Resultados_2_Criba_de_Erat_stenes[[#All],[Tamaño]],0))/INDEX(Resultados_2_Criba_de_Erat_stenes[[#All],[Cantidad de líneas ejecutadas (Suma asig + comp)]],MATCH($I5,Resultados_2_Criba_de_Erat_stenes[[#All],[Tamaño]],0))</f>
        <v>1309.8888888888889</v>
      </c>
      <c r="O5" s="8" t="e">
        <f>INDEX(Resultados_2_Criba_de_Erat_stenes[[#All],[Tiempo de ejecución (ms)]],MATCH($J5,Resultados_2_Criba_de_Erat_stenes[[#All],[Tamaño]],0))/INDEX(Resultados_2_Criba_de_Erat_stenes[[#All],[Tiempo de ejecución (ms)]],MATCH($I5,Resultados_2_Criba_de_Erat_stenes[[#All],[Tamaño]],0))</f>
        <v>#DIV/0!</v>
      </c>
    </row>
    <row r="6" spans="1:15" x14ac:dyDescent="0.3">
      <c r="A6" s="3">
        <v>10</v>
      </c>
      <c r="B6" s="4">
        <v>100000</v>
      </c>
      <c r="C6">
        <f t="shared" si="0"/>
        <v>10000</v>
      </c>
      <c r="D6" s="8">
        <f>INDEX(Resultados_1_Divisi_n_por_tentativa_optimizado[[#All],[Asignaciones]],MATCH($B6,Resultados_1_Divisi_n_por_tentativa_optimizado[[#All],[Tamaño]],0))/INDEX(Resultados_1_Divisi_n_por_tentativa_optimizado[[#All],[Asignaciones]],MATCH($A6,Resultados_1_Divisi_n_por_tentativa_optimizado[[#All],[Tamaño]],0))</f>
        <v>35423.5</v>
      </c>
      <c r="E6" s="8">
        <f>INDEX(Resultados_1_Divisi_n_por_tentativa_optimizado[[#All],[Comparaciones]],MATCH($B6,Resultados_1_Divisi_n_por_tentativa_optimizado[[#All],[Tamaño]],0))/INDEX(Resultados_1_Divisi_n_por_tentativa_optimizado[[#All],[Comparaciones]],MATCH($A6,Resultados_1_Divisi_n_por_tentativa_optimizado[[#All],[Tamaño]],0))</f>
        <v>36837.037735849059</v>
      </c>
      <c r="F6" s="8">
        <f>INDEX(Resultados_1_Divisi_n_por_tentativa_optimizado[[#All],[Líneas ejecutadas]],MATCH($B6,Resultados_1_Divisi_n_por_tentativa_optimizado[[#All],[Tamaño]],0))/INDEX(Resultados_1_Divisi_n_por_tentativa_optimizado[[#All],[Líneas ejecutadas]],MATCH($A6,Resultados_1_Divisi_n_por_tentativa_optimizado[[#All],[Tamaño]],0))</f>
        <v>36509.260869565216</v>
      </c>
      <c r="G6" s="8" t="e">
        <f>INDEX(Resultados_1_Divisi_n_por_tentativa_optimizado[[#All],[Tiempo de ejecución (ms)]],MATCH($B6,Resultados_1_Divisi_n_por_tentativa_optimizado[[#All],[Tamaño]],0))/INDEX(Resultados_1_Divisi_n_por_tentativa_optimizado[[#All],[Tiempo de ejecución (ms)]],MATCH($A6,Resultados_1_Divisi_n_por_tentativa_optimizado[[#All],[Tamaño]],0))</f>
        <v>#DIV/0!</v>
      </c>
      <c r="I6" s="3">
        <v>10</v>
      </c>
      <c r="J6" s="4">
        <v>100000</v>
      </c>
      <c r="K6">
        <f t="shared" si="1"/>
        <v>10000</v>
      </c>
      <c r="L6" s="8">
        <f>INDEX(Resultados_2_Criba_de_Erat_stenes[[#All],[Asignaciones]],MATCH($B6,Resultados_2_Criba_de_Erat_stenes[[#All],[Tamaño]],0))/INDEX(Resultados_2_Criba_de_Erat_stenes[[#All],[Asignaciones]],MATCH($A6,Resultados_2_Criba_de_Erat_stenes[[#All],[Tamaño]],0))</f>
        <v>15504.125</v>
      </c>
      <c r="M6" s="8">
        <f>INDEX(Resultados_2_Criba_de_Erat_stenes[[#All],[Comparaciones]],MATCH($J6,Resultados_2_Criba_de_Erat_stenes[[#All],[Tamaño]],0))/INDEX(Resultados_2_Criba_de_Erat_stenes[[#All],[Comparaciones]],MATCH($I6,Resultados_2_Criba_de_Erat_stenes[[#All],[Tamaño]],0))</f>
        <v>12702.354838709678</v>
      </c>
      <c r="N6" s="8">
        <f>INDEX(Resultados_2_Criba_de_Erat_stenes[[#All],[Cantidad de líneas ejecutadas (Suma asig + comp)]],MATCH($J6,Resultados_2_Criba_de_Erat_stenes[[#All],[Tamaño]],0))/INDEX(Resultados_2_Criba_de_Erat_stenes[[#All],[Cantidad de líneas ejecutadas (Suma asig + comp)]],MATCH($I6,Resultados_2_Criba_de_Erat_stenes[[#All],[Tamaño]],0))</f>
        <v>14125.476190476191</v>
      </c>
      <c r="O6" s="8" t="e">
        <f>INDEX(Resultados_2_Criba_de_Erat_stenes[[#All],[Tiempo de ejecución (ms)]],MATCH($J6,Resultados_2_Criba_de_Erat_stenes[[#All],[Tamaño]],0))/INDEX(Resultados_2_Criba_de_Erat_stenes[[#All],[Tiempo de ejecución (ms)]],MATCH($I6,Resultados_2_Criba_de_Erat_stenes[[#All],[Tamaño]],0))</f>
        <v>#DIV/0!</v>
      </c>
    </row>
    <row r="7" spans="1:15" x14ac:dyDescent="0.3">
      <c r="A7" s="3">
        <v>100</v>
      </c>
      <c r="B7" s="3">
        <v>1000</v>
      </c>
      <c r="C7">
        <f t="shared" si="0"/>
        <v>10</v>
      </c>
      <c r="D7" s="8">
        <f>INDEX(Resultados_1_Divisi_n_por_tentativa_optimizado[[#All],[Asignaciones]],MATCH($B7,Resultados_1_Divisi_n_por_tentativa_optimizado[[#All],[Tamaño]],0))/INDEX(Resultados_1_Divisi_n_por_tentativa_optimizado[[#All],[Asignaciones]],MATCH($A7,Resultados_1_Divisi_n_por_tentativa_optimizado[[#All],[Tamaño]],0))</f>
        <v>12.121387283236995</v>
      </c>
      <c r="E7" s="8">
        <f>INDEX(Resultados_1_Divisi_n_por_tentativa_optimizado[[#All],[Comparaciones]],MATCH($B7,Resultados_1_Divisi_n_por_tentativa_optimizado[[#All],[Tamaño]],0))/INDEX(Resultados_1_Divisi_n_por_tentativa_optimizado[[#All],[Comparaciones]],MATCH($A7,Resultados_1_Divisi_n_por_tentativa_optimizado[[#All],[Tamaño]],0))</f>
        <v>12.258345428156749</v>
      </c>
      <c r="F7" s="8">
        <f>INDEX(Resultados_1_Divisi_n_por_tentativa_optimizado[[#All],[Líneas ejecutadas]],MATCH($B7,Resultados_1_Divisi_n_por_tentativa_optimizado[[#All],[Tamaño]],0))/INDEX(Resultados_1_Divisi_n_por_tentativa_optimizado[[#All],[Líneas ejecutadas]],MATCH($A7,Resultados_1_Divisi_n_por_tentativa_optimizado[[#All],[Tamaño]],0))</f>
        <v>12.230858468677495</v>
      </c>
      <c r="G7" s="8" t="e">
        <f>INDEX(Resultados_1_Divisi_n_por_tentativa_optimizado[[#All],[Tiempo de ejecución (ms)]],MATCH($B7,Resultados_1_Divisi_n_por_tentativa_optimizado[[#All],[Tamaño]],0))/INDEX(Resultados_1_Divisi_n_por_tentativa_optimizado[[#All],[Tiempo de ejecución (ms)]],MATCH($A7,Resultados_1_Divisi_n_por_tentativa_optimizado[[#All],[Tamaño]],0))</f>
        <v>#DIV/0!</v>
      </c>
      <c r="I7" s="3">
        <v>100</v>
      </c>
      <c r="J7" s="3">
        <v>1000</v>
      </c>
      <c r="K7">
        <f t="shared" si="1"/>
        <v>10</v>
      </c>
      <c r="L7" s="8">
        <f>INDEX(Resultados_2_Criba_de_Erat_stenes[[#All],[Asignaciones]],MATCH($B7,Resultados_2_Criba_de_Erat_stenes[[#All],[Tamaño]],0))/INDEX(Resultados_2_Criba_de_Erat_stenes[[#All],[Asignaciones]],MATCH($A7,Resultados_2_Criba_de_Erat_stenes[[#All],[Tamaño]],0))</f>
        <v>11.528571428571428</v>
      </c>
      <c r="M7" s="8">
        <f>INDEX(Resultados_2_Criba_de_Erat_stenes[[#All],[Comparaciones]],MATCH($J7,Resultados_2_Criba_de_Erat_stenes[[#All],[Tamaño]],0))/INDEX(Resultados_2_Criba_de_Erat_stenes[[#All],[Comparaciones]],MATCH($I7,Resultados_2_Criba_de_Erat_stenes[[#All],[Tamaño]],0))</f>
        <v>10.680981595092025</v>
      </c>
      <c r="N7" s="8">
        <f>INDEX(Resultados_2_Criba_de_Erat_stenes[[#All],[Cantidad de líneas ejecutadas (Suma asig + comp)]],MATCH($J7,Resultados_2_Criba_de_Erat_stenes[[#All],[Tamaño]],0))/INDEX(Resultados_2_Criba_de_Erat_stenes[[#All],[Cantidad de líneas ejecutadas (Suma asig + comp)]],MATCH($I7,Resultados_2_Criba_de_Erat_stenes[[#All],[Tamaño]],0))</f>
        <v>11.1198224852071</v>
      </c>
      <c r="O7" s="8" t="e">
        <f>INDEX(Resultados_2_Criba_de_Erat_stenes[[#All],[Tiempo de ejecución (ms)]],MATCH($J7,Resultados_2_Criba_de_Erat_stenes[[#All],[Tamaño]],0))/INDEX(Resultados_2_Criba_de_Erat_stenes[[#All],[Tiempo de ejecución (ms)]],MATCH($I7,Resultados_2_Criba_de_Erat_stenes[[#All],[Tamaño]],0))</f>
        <v>#DIV/0!</v>
      </c>
    </row>
    <row r="8" spans="1:15" x14ac:dyDescent="0.3">
      <c r="A8" s="3">
        <v>1000</v>
      </c>
      <c r="B8" s="5">
        <v>10000</v>
      </c>
      <c r="C8">
        <f t="shared" si="0"/>
        <v>10</v>
      </c>
      <c r="D8" s="8">
        <f>INDEX(Resultados_1_Divisi_n_por_tentativa_optimizado[[#All],[Asignaciones]],MATCH($B8,Resultados_1_Divisi_n_por_tentativa_optimizado[[#All],[Tamaño]],0))/INDEX(Resultados_1_Divisi_n_por_tentativa_optimizado[[#All],[Asignaciones]],MATCH($A8,Resultados_1_Divisi_n_por_tentativa_optimizado[[#All],[Tamaño]],0))</f>
        <v>14.765855984740105</v>
      </c>
      <c r="E8" s="8">
        <f>INDEX(Resultados_1_Divisi_n_por_tentativa_optimizado[[#All],[Comparaciones]],MATCH($B8,Resultados_1_Divisi_n_por_tentativa_optimizado[[#All],[Tamaño]],0))/INDEX(Resultados_1_Divisi_n_por_tentativa_optimizado[[#All],[Comparaciones]],MATCH($A8,Resultados_1_Divisi_n_por_tentativa_optimizado[[#All],[Tamaño]],0))</f>
        <v>13.822164338148236</v>
      </c>
      <c r="F8" s="8">
        <f>INDEX(Resultados_1_Divisi_n_por_tentativa_optimizado[[#All],[Líneas ejecutadas]],MATCH($B8,Resultados_1_Divisi_n_por_tentativa_optimizado[[#All],[Tamaño]],0))/INDEX(Resultados_1_Divisi_n_por_tentativa_optimizado[[#All],[Líneas ejecutadas]],MATCH($A8,Resultados_1_Divisi_n_por_tentativa_optimizado[[#All],[Tamaño]],0))</f>
        <v>14.009864364981505</v>
      </c>
      <c r="G8" s="8" t="e">
        <f>INDEX(Resultados_1_Divisi_n_por_tentativa_optimizado[[#All],[Tiempo de ejecución (ms)]],MATCH($B8,Resultados_1_Divisi_n_por_tentativa_optimizado[[#All],[Tamaño]],0))/INDEX(Resultados_1_Divisi_n_por_tentativa_optimizado[[#All],[Tiempo de ejecución (ms)]],MATCH($A8,Resultados_1_Divisi_n_por_tentativa_optimizado[[#All],[Tamaño]],0))</f>
        <v>#DIV/0!</v>
      </c>
      <c r="I8" s="3">
        <v>1000</v>
      </c>
      <c r="J8" s="5">
        <v>10000</v>
      </c>
      <c r="K8">
        <f t="shared" si="1"/>
        <v>10</v>
      </c>
      <c r="L8" s="8">
        <f>INDEX(Resultados_2_Criba_de_Erat_stenes[[#All],[Asignaciones]],MATCH($B8,Resultados_2_Criba_de_Erat_stenes[[#All],[Tamaño]],0))/INDEX(Resultados_2_Criba_de_Erat_stenes[[#All],[Asignaciones]],MATCH($A8,Resultados_2_Criba_de_Erat_stenes[[#All],[Tamaño]],0))</f>
        <v>11.231474597273854</v>
      </c>
      <c r="M8" s="8">
        <f>INDEX(Resultados_2_Criba_de_Erat_stenes[[#All],[Comparaciones]],MATCH($J8,Resultados_2_Criba_de_Erat_stenes[[#All],[Tamaño]],0))/INDEX(Resultados_2_Criba_de_Erat_stenes[[#All],[Comparaciones]],MATCH($I8,Resultados_2_Criba_de_Erat_stenes[[#All],[Tamaño]],0))</f>
        <v>10.684663986214819</v>
      </c>
      <c r="N8" s="8">
        <f>INDEX(Resultados_2_Criba_de_Erat_stenes[[#All],[Cantidad de líneas ejecutadas (Suma asig + comp)]],MATCH($J8,Resultados_2_Criba_de_Erat_stenes[[#All],[Tamaño]],0))/INDEX(Resultados_2_Criba_de_Erat_stenes[[#All],[Cantidad de líneas ejecutadas (Suma asig + comp)]],MATCH($I8,Resultados_2_Criba_de_Erat_stenes[[#All],[Tamaño]],0))</f>
        <v>10.978182785685778</v>
      </c>
      <c r="O8" s="8" t="e">
        <f>INDEX(Resultados_2_Criba_de_Erat_stenes[[#All],[Tiempo de ejecución (ms)]],MATCH($J8,Resultados_2_Criba_de_Erat_stenes[[#All],[Tamaño]],0))/INDEX(Resultados_2_Criba_de_Erat_stenes[[#All],[Tiempo de ejecución (ms)]],MATCH($I8,Resultados_2_Criba_de_Erat_stenes[[#All],[Tamaño]],0))</f>
        <v>#DIV/0!</v>
      </c>
    </row>
    <row r="9" spans="1:15" x14ac:dyDescent="0.3">
      <c r="A9" s="1">
        <v>100000</v>
      </c>
      <c r="B9" s="5">
        <v>1000000</v>
      </c>
      <c r="C9">
        <f t="shared" si="0"/>
        <v>10</v>
      </c>
      <c r="D9" s="8">
        <f>INDEX(Resultados_1_Divisi_n_por_tentativa_optimizado[[#All],[Asignaciones]],MATCH($B9,Resultados_1_Divisi_n_por_tentativa_optimizado[[#All],[Tamaño]],0))/INDEX(Resultados_1_Divisi_n_por_tentativa_optimizado[[#All],[Asignaciones]],MATCH($A9,Resultados_1_Divisi_n_por_tentativa_optimizado[[#All],[Tamaño]],0))</f>
        <v>21.79257413863678</v>
      </c>
      <c r="E9" s="8">
        <f>INDEX(Resultados_1_Divisi_n_por_tentativa_optimizado[[#All],[Comparaciones]],MATCH($B9,Resultados_1_Divisi_n_por_tentativa_optimizado[[#All],[Tamaño]],0))/INDEX(Resultados_1_Divisi_n_por_tentativa_optimizado[[#All],[Comparaciones]],MATCH($A9,Resultados_1_Divisi_n_por_tentativa_optimizado[[#All],[Tamaño]],0))</f>
        <v>20.314884578328929</v>
      </c>
      <c r="F9" s="8">
        <f>INDEX(Resultados_1_Divisi_n_por_tentativa_optimizado[[#All],[Líneas ejecutadas]],MATCH($B9,Resultados_1_Divisi_n_por_tentativa_optimizado[[#All],[Tamaño]],0))/INDEX(Resultados_1_Divisi_n_por_tentativa_optimizado[[#All],[Líneas ejecutadas]],MATCH($A9,Resultados_1_Divisi_n_por_tentativa_optimizado[[#All],[Tamaño]],0))</f>
        <v>20.647346970532393</v>
      </c>
      <c r="G9" s="8">
        <f>INDEX(Resultados_1_Divisi_n_por_tentativa_optimizado[[#All],[Tiempo de ejecución (ms)]],MATCH($B9,Resultados_1_Divisi_n_por_tentativa_optimizado[[#All],[Tamaño]],0))/INDEX(Resultados_1_Divisi_n_por_tentativa_optimizado[[#All],[Tiempo de ejecución (ms)]],MATCH($A9,Resultados_1_Divisi_n_por_tentativa_optimizado[[#All],[Tamaño]],0))</f>
        <v>9.1428571428571423</v>
      </c>
      <c r="I9" s="1">
        <v>100000</v>
      </c>
      <c r="J9" s="5">
        <v>1000000</v>
      </c>
      <c r="K9">
        <f t="shared" si="1"/>
        <v>10</v>
      </c>
      <c r="L9" s="8">
        <f>INDEX(Resultados_2_Criba_de_Erat_stenes[[#All],[Asignaciones]],MATCH($B9,Resultados_2_Criba_de_Erat_stenes[[#All],[Tamaño]],0))/INDEX(Resultados_2_Criba_de_Erat_stenes[[#All],[Asignaciones]],MATCH($A9,Resultados_2_Criba_de_Erat_stenes[[#All],[Tamaño]],0))</f>
        <v>10.730541468802658</v>
      </c>
      <c r="M9" s="8">
        <f>INDEX(Resultados_2_Criba_de_Erat_stenes[[#All],[Comparaciones]],MATCH($J9,Resultados_2_Criba_de_Erat_stenes[[#All],[Tamaño]],0))/INDEX(Resultados_2_Criba_de_Erat_stenes[[#All],[Comparaciones]],MATCH($I9,Resultados_2_Criba_de_Erat_stenes[[#All],[Tamaño]],0))</f>
        <v>10.473582495498675</v>
      </c>
      <c r="N9" s="8">
        <f>INDEX(Resultados_2_Criba_de_Erat_stenes[[#All],[Cantidad de líneas ejecutadas (Suma asig + comp)]],MATCH($J9,Resultados_2_Criba_de_Erat_stenes[[#All],[Tamaño]],0))/INDEX(Resultados_2_Criba_de_Erat_stenes[[#All],[Cantidad de líneas ejecutadas (Suma asig + comp)]],MATCH($I9,Resultados_2_Criba_de_Erat_stenes[[#All],[Tamaño]],0))</f>
        <v>10.616839999775257</v>
      </c>
      <c r="O9" s="8">
        <f>INDEX(Resultados_2_Criba_de_Erat_stenes[[#All],[Tiempo de ejecución (ms)]],MATCH($J9,Resultados_2_Criba_de_Erat_stenes[[#All],[Tamaño]],0))/INDEX(Resultados_2_Criba_de_Erat_stenes[[#All],[Tiempo de ejecución (ms)]],MATCH($I9,Resultados_2_Criba_de_Erat_stenes[[#All],[Tamaño]],0))</f>
        <v>1.9090909090909092</v>
      </c>
    </row>
    <row r="10" spans="1:15" x14ac:dyDescent="0.3">
      <c r="A10" s="5">
        <v>1000000</v>
      </c>
      <c r="B10" s="5">
        <v>10000000</v>
      </c>
      <c r="C10">
        <f t="shared" si="0"/>
        <v>10</v>
      </c>
      <c r="D10" s="8">
        <f>INDEX(Resultados_1_Divisi_n_por_tentativa_optimizado[[#All],[Asignaciones]],MATCH($B10,Resultados_1_Divisi_n_por_tentativa_optimizado[[#All],[Tamaño]],0))/INDEX(Resultados_1_Divisi_n_por_tentativa_optimizado[[#All],[Asignaciones]],MATCH($A10,Resultados_1_Divisi_n_por_tentativa_optimizado[[#All],[Tamaño]],0))</f>
        <v>24.405070862602365</v>
      </c>
      <c r="E10" s="8">
        <f>INDEX(Resultados_1_Divisi_n_por_tentativa_optimizado[[#All],[Comparaciones]],MATCH($B10,Resultados_1_Divisi_n_por_tentativa_optimizado[[#All],[Tamaño]],0))/INDEX(Resultados_1_Divisi_n_por_tentativa_optimizado[[#All],[Comparaciones]],MATCH($A10,Resultados_1_Divisi_n_por_tentativa_optimizado[[#All],[Tamaño]],0))</f>
        <v>23.473216259309375</v>
      </c>
      <c r="F10" s="8">
        <f>INDEX(Resultados_1_Divisi_n_por_tentativa_optimizado[[#All],[Líneas ejecutadas]],MATCH($B10,Resultados_1_Divisi_n_por_tentativa_optimizado[[#All],[Tamaño]],0))/INDEX(Resultados_1_Divisi_n_por_tentativa_optimizado[[#All],[Líneas ejecutadas]],MATCH($A10,Resultados_1_Divisi_n_por_tentativa_optimizado[[#All],[Tamaño]],0))</f>
        <v>23.694501144961553</v>
      </c>
      <c r="G10" s="8">
        <f>INDEX(Resultados_1_Divisi_n_por_tentativa_optimizado[[#All],[Tiempo de ejecución (ms)]],MATCH($B10,Resultados_1_Divisi_n_por_tentativa_optimizado[[#All],[Tamaño]],0))/INDEX(Resultados_1_Divisi_n_por_tentativa_optimizado[[#All],[Tiempo de ejecución (ms)]],MATCH($A10,Resultados_1_Divisi_n_por_tentativa_optimizado[[#All],[Tamaño]],0))</f>
        <v>24.65625</v>
      </c>
      <c r="I10" s="5">
        <v>1000000</v>
      </c>
      <c r="J10" s="5">
        <v>10000000</v>
      </c>
      <c r="K10">
        <f t="shared" si="1"/>
        <v>10</v>
      </c>
      <c r="L10" s="8">
        <f>INDEX(Resultados_2_Criba_de_Erat_stenes[[#All],[Asignaciones]],MATCH($B10,Resultados_2_Criba_de_Erat_stenes[[#All],[Tamaño]],0))/INDEX(Resultados_2_Criba_de_Erat_stenes[[#All],[Asignaciones]],MATCH($A10,Resultados_2_Criba_de_Erat_stenes[[#All],[Tamaño]],0))</f>
        <v>10.588050374124327</v>
      </c>
      <c r="M10" s="8">
        <f>INDEX(Resultados_2_Criba_de_Erat_stenes[[#All],[Comparaciones]],MATCH($J10,Resultados_2_Criba_de_Erat_stenes[[#All],[Tamaño]],0))/INDEX(Resultados_2_Criba_de_Erat_stenes[[#All],[Comparaciones]],MATCH($I10,Resultados_2_Criba_de_Erat_stenes[[#All],[Tamaño]],0))</f>
        <v>10.391511934152787</v>
      </c>
      <c r="N10" s="8">
        <f>INDEX(Resultados_2_Criba_de_Erat_stenes[[#All],[Cantidad de líneas ejecutadas (Suma asig + comp)]],MATCH($J10,Resultados_2_Criba_de_Erat_stenes[[#All],[Tamaño]],0))/INDEX(Resultados_2_Criba_de_Erat_stenes[[#All],[Cantidad de líneas ejecutadas (Suma asig + comp)]],MATCH($I10,Resultados_2_Criba_de_Erat_stenes[[#All],[Tamaño]],0))</f>
        <v>10.502257784442577</v>
      </c>
      <c r="O10" s="8">
        <f>INDEX(Resultados_2_Criba_de_Erat_stenes[[#All],[Tiempo de ejecución (ms)]],MATCH($J10,Resultados_2_Criba_de_Erat_stenes[[#All],[Tamaño]],0))/INDEX(Resultados_2_Criba_de_Erat_stenes[[#All],[Tiempo de ejecución (ms)]],MATCH($I10,Resultados_2_Criba_de_Erat_stenes[[#All],[Tamaño]],0))</f>
        <v>5.8095238095238093</v>
      </c>
    </row>
    <row r="11" spans="1:15" x14ac:dyDescent="0.3">
      <c r="A11" s="1">
        <v>100</v>
      </c>
      <c r="B11" s="5">
        <v>10000</v>
      </c>
      <c r="C11">
        <f t="shared" si="0"/>
        <v>100</v>
      </c>
      <c r="D11" s="8">
        <f>INDEX(Resultados_1_Divisi_n_por_tentativa_optimizado[[#All],[Asignaciones]],MATCH($B11,Resultados_1_Divisi_n_por_tentativa_optimizado[[#All],[Tamaño]],0))/INDEX(Resultados_1_Divisi_n_por_tentativa_optimizado[[#All],[Asignaciones]],MATCH($A11,Resultados_1_Divisi_n_por_tentativa_optimizado[[#All],[Tamaño]],0))</f>
        <v>178.98265895953756</v>
      </c>
      <c r="E11" s="8">
        <f>INDEX(Resultados_1_Divisi_n_por_tentativa_optimizado[[#All],[Comparaciones]],MATCH($B11,Resultados_1_Divisi_n_por_tentativa_optimizado[[#All],[Tamaño]],0))/INDEX(Resultados_1_Divisi_n_por_tentativa_optimizado[[#All],[Comparaciones]],MATCH($A11,Resultados_1_Divisi_n_por_tentativa_optimizado[[#All],[Tamaño]],0))</f>
        <v>169.43686502177067</v>
      </c>
      <c r="F11" s="8">
        <f>INDEX(Resultados_1_Divisi_n_por_tentativa_optimizado[[#All],[Líneas ejecutadas]],MATCH($B11,Resultados_1_Divisi_n_por_tentativa_optimizado[[#All],[Tamaño]],0))/INDEX(Resultados_1_Divisi_n_por_tentativa_optimizado[[#All],[Líneas ejecutadas]],MATCH($A11,Resultados_1_Divisi_n_por_tentativa_optimizado[[#All],[Tamaño]],0))</f>
        <v>171.35266821345706</v>
      </c>
      <c r="G11" s="8" t="e">
        <f>INDEX(Resultados_1_Divisi_n_por_tentativa_optimizado[[#All],[Tiempo de ejecución (ms)]],MATCH($B11,Resultados_1_Divisi_n_por_tentativa_optimizado[[#All],[Tamaño]],0))/INDEX(Resultados_1_Divisi_n_por_tentativa_optimizado[[#All],[Tiempo de ejecución (ms)]],MATCH($A11,Resultados_1_Divisi_n_por_tentativa_optimizado[[#All],[Tamaño]],0))</f>
        <v>#DIV/0!</v>
      </c>
      <c r="I11" s="1">
        <v>100</v>
      </c>
      <c r="J11" s="5">
        <v>10000</v>
      </c>
      <c r="K11">
        <f t="shared" si="1"/>
        <v>100</v>
      </c>
      <c r="L11" s="8">
        <f>INDEX(Resultados_2_Criba_de_Erat_stenes[[#All],[Asignaciones]],MATCH($B11,Resultados_2_Criba_de_Erat_stenes[[#All],[Tamaño]],0))/INDEX(Resultados_2_Criba_de_Erat_stenes[[#All],[Asignaciones]],MATCH($A11,Resultados_2_Criba_de_Erat_stenes[[#All],[Tamaño]],0))</f>
        <v>129.48285714285714</v>
      </c>
      <c r="M11" s="8">
        <f>INDEX(Resultados_2_Criba_de_Erat_stenes[[#All],[Comparaciones]],MATCH($J11,Resultados_2_Criba_de_Erat_stenes[[#All],[Tamaño]],0))/INDEX(Resultados_2_Criba_de_Erat_stenes[[#All],[Comparaciones]],MATCH($I11,Resultados_2_Criba_de_Erat_stenes[[#All],[Tamaño]],0))</f>
        <v>114.12269938650307</v>
      </c>
      <c r="N11" s="8">
        <f>INDEX(Resultados_2_Criba_de_Erat_stenes[[#All],[Cantidad de líneas ejecutadas (Suma asig + comp)]],MATCH($J11,Resultados_2_Criba_de_Erat_stenes[[#All],[Tamaño]],0))/INDEX(Resultados_2_Criba_de_Erat_stenes[[#All],[Cantidad de líneas ejecutadas (Suma asig + comp)]],MATCH($I11,Resultados_2_Criba_de_Erat_stenes[[#All],[Tamaño]],0))</f>
        <v>122.07544378698225</v>
      </c>
      <c r="O11" s="8" t="e">
        <f>INDEX(Resultados_2_Criba_de_Erat_stenes[[#All],[Tiempo de ejecución (ms)]],MATCH($J11,Resultados_2_Criba_de_Erat_stenes[[#All],[Tamaño]],0))/INDEX(Resultados_2_Criba_de_Erat_stenes[[#All],[Tiempo de ejecución (ms)]],MATCH($I11,Resultados_2_Criba_de_Erat_stenes[[#All],[Tamaño]],0))</f>
        <v>#DIV/0!</v>
      </c>
    </row>
    <row r="12" spans="1:15" x14ac:dyDescent="0.3">
      <c r="A12" s="1">
        <v>1000</v>
      </c>
      <c r="B12" s="5">
        <v>100000</v>
      </c>
      <c r="C12">
        <f t="shared" si="0"/>
        <v>100</v>
      </c>
      <c r="D12" s="8">
        <f>INDEX(Resultados_1_Divisi_n_por_tentativa_optimizado[[#All],[Asignaciones]],MATCH($B12,Resultados_1_Divisi_n_por_tentativa_optimizado[[#All],[Tamaño]],0))/INDEX(Resultados_1_Divisi_n_por_tentativa_optimizado[[#All],[Asignaciones]],MATCH($A12,Resultados_1_Divisi_n_por_tentativa_optimizado[[#All],[Tamaño]],0))</f>
        <v>270.27944682880303</v>
      </c>
      <c r="E12" s="8">
        <f>INDEX(Resultados_1_Divisi_n_por_tentativa_optimizado[[#All],[Comparaciones]],MATCH($B12,Resultados_1_Divisi_n_por_tentativa_optimizado[[#All],[Tamaño]],0))/INDEX(Resultados_1_Divisi_n_por_tentativa_optimizado[[#All],[Comparaciones]],MATCH($A12,Resultados_1_Divisi_n_por_tentativa_optimizado[[#All],[Tamaño]],0))</f>
        <v>231.15829978688137</v>
      </c>
      <c r="F12" s="8">
        <f>INDEX(Resultados_1_Divisi_n_por_tentativa_optimizado[[#All],[Líneas ejecutadas]],MATCH($B12,Resultados_1_Divisi_n_por_tentativa_optimizado[[#All],[Tamaño]],0))/INDEX(Resultados_1_Divisi_n_por_tentativa_optimizado[[#All],[Líneas ejecutadas]],MATCH($A12,Resultados_1_Divisi_n_por_tentativa_optimizado[[#All],[Tamaño]],0))</f>
        <v>238.93948591482501</v>
      </c>
      <c r="G12" s="8" t="e">
        <f>INDEX(Resultados_1_Divisi_n_por_tentativa_optimizado[[#All],[Tiempo de ejecución (ms)]],MATCH($B12,Resultados_1_Divisi_n_por_tentativa_optimizado[[#All],[Tamaño]],0))/INDEX(Resultados_1_Divisi_n_por_tentativa_optimizado[[#All],[Tiempo de ejecución (ms)]],MATCH($A12,Resultados_1_Divisi_n_por_tentativa_optimizado[[#All],[Tamaño]],0))</f>
        <v>#DIV/0!</v>
      </c>
      <c r="I12" s="1">
        <v>1000</v>
      </c>
      <c r="J12" s="5">
        <v>100000</v>
      </c>
      <c r="K12">
        <f t="shared" si="1"/>
        <v>100</v>
      </c>
      <c r="L12" s="8">
        <f>INDEX(Resultados_2_Criba_de_Erat_stenes[[#All],[Asignaciones]],MATCH($B12,Resultados_2_Criba_de_Erat_stenes[[#All],[Tamaño]],0))/INDEX(Resultados_2_Criba_de_Erat_stenes[[#All],[Asignaciones]],MATCH($A12,Resultados_2_Criba_de_Erat_stenes[[#All],[Tamaño]],0))</f>
        <v>122.95712515489467</v>
      </c>
      <c r="M12" s="8">
        <f>INDEX(Resultados_2_Criba_de_Erat_stenes[[#All],[Comparaciones]],MATCH($J12,Resultados_2_Criba_de_Erat_stenes[[#All],[Tamaño]],0))/INDEX(Resultados_2_Criba_de_Erat_stenes[[#All],[Comparaciones]],MATCH($I12,Resultados_2_Criba_de_Erat_stenes[[#All],[Tamaño]],0))</f>
        <v>113.08816771970132</v>
      </c>
      <c r="N12" s="8">
        <f>INDEX(Resultados_2_Criba_de_Erat_stenes[[#All],[Cantidad de líneas ejecutadas (Suma asig + comp)]],MATCH($J12,Resultados_2_Criba_de_Erat_stenes[[#All],[Tamaño]],0))/INDEX(Resultados_2_Criba_de_Erat_stenes[[#All],[Cantidad de líneas ejecutadas (Suma asig + comp)]],MATCH($I12,Resultados_2_Criba_de_Erat_stenes[[#All],[Tamaño]],0))</f>
        <v>118.38565917254223</v>
      </c>
      <c r="O12" s="8" t="e">
        <f>INDEX(Resultados_2_Criba_de_Erat_stenes[[#All],[Tiempo de ejecución (ms)]],MATCH($J12,Resultados_2_Criba_de_Erat_stenes[[#All],[Tamaño]],0))/INDEX(Resultados_2_Criba_de_Erat_stenes[[#All],[Tiempo de ejecución (ms)]],MATCH($I12,Resultados_2_Criba_de_Erat_stenes[[#All],[Tamaño]],0))</f>
        <v>#DIV/0!</v>
      </c>
    </row>
    <row r="13" spans="1:15" x14ac:dyDescent="0.3">
      <c r="A13" s="1"/>
      <c r="B13" s="1"/>
    </row>
  </sheetData>
  <mergeCells count="4">
    <mergeCell ref="A2:B2"/>
    <mergeCell ref="A1:G1"/>
    <mergeCell ref="I1:O1"/>
    <mergeCell ref="I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DF65-A803-4136-B8D9-6364DE841BD6}">
  <dimension ref="A1:F9"/>
  <sheetViews>
    <sheetView workbookViewId="0">
      <selection activeCell="B26" sqref="B26"/>
    </sheetView>
  </sheetViews>
  <sheetFormatPr defaultRowHeight="14.4" x14ac:dyDescent="0.3"/>
  <cols>
    <col min="1" max="1" width="10" bestFit="1" customWidth="1"/>
    <col min="2" max="2" width="14.109375" bestFit="1" customWidth="1"/>
    <col min="3" max="3" width="16.44140625" bestFit="1" customWidth="1"/>
    <col min="4" max="4" width="18.21875" bestFit="1" customWidth="1"/>
    <col min="5" max="5" width="24.88671875" bestFit="1" customWidth="1"/>
    <col min="6" max="7" width="2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15</v>
      </c>
      <c r="E1" t="s">
        <v>4</v>
      </c>
      <c r="F1" t="s">
        <v>5</v>
      </c>
    </row>
    <row r="2" spans="1:6" x14ac:dyDescent="0.3">
      <c r="A2">
        <v>10</v>
      </c>
      <c r="B2">
        <v>16</v>
      </c>
      <c r="C2">
        <v>53</v>
      </c>
      <c r="D2">
        <v>69</v>
      </c>
      <c r="E2">
        <v>0</v>
      </c>
      <c r="F2">
        <v>15</v>
      </c>
    </row>
    <row r="3" spans="1:6" x14ac:dyDescent="0.3">
      <c r="A3">
        <v>100</v>
      </c>
      <c r="B3">
        <v>173</v>
      </c>
      <c r="C3">
        <v>689</v>
      </c>
      <c r="D3">
        <v>862</v>
      </c>
      <c r="E3">
        <v>0</v>
      </c>
      <c r="F3">
        <v>15</v>
      </c>
    </row>
    <row r="4" spans="1:6" x14ac:dyDescent="0.3">
      <c r="A4">
        <v>1000</v>
      </c>
      <c r="B4">
        <v>2097</v>
      </c>
      <c r="C4">
        <v>8446</v>
      </c>
      <c r="D4">
        <v>10543</v>
      </c>
      <c r="E4">
        <v>0</v>
      </c>
      <c r="F4">
        <v>15</v>
      </c>
    </row>
    <row r="5" spans="1:6" x14ac:dyDescent="0.3">
      <c r="A5">
        <v>10000</v>
      </c>
      <c r="B5">
        <v>30964</v>
      </c>
      <c r="C5">
        <v>116742</v>
      </c>
      <c r="D5">
        <v>147706</v>
      </c>
      <c r="E5">
        <v>1</v>
      </c>
      <c r="F5">
        <v>15</v>
      </c>
    </row>
    <row r="6" spans="1:6" x14ac:dyDescent="0.3">
      <c r="A6">
        <v>100000</v>
      </c>
      <c r="B6">
        <v>566776</v>
      </c>
      <c r="C6">
        <v>1952363</v>
      </c>
      <c r="D6">
        <v>2519139</v>
      </c>
      <c r="E6">
        <v>7</v>
      </c>
      <c r="F6">
        <v>15</v>
      </c>
    </row>
    <row r="7" spans="1:6" x14ac:dyDescent="0.3">
      <c r="A7">
        <v>1000000</v>
      </c>
      <c r="B7">
        <v>12351508</v>
      </c>
      <c r="C7">
        <v>39662029</v>
      </c>
      <c r="D7">
        <v>52013537</v>
      </c>
      <c r="E7">
        <v>64</v>
      </c>
      <c r="F7">
        <v>15</v>
      </c>
    </row>
    <row r="8" spans="1:6" x14ac:dyDescent="0.3">
      <c r="A8">
        <v>10000000</v>
      </c>
      <c r="B8">
        <v>301439428</v>
      </c>
      <c r="C8">
        <v>930995384</v>
      </c>
      <c r="D8">
        <v>1232434812</v>
      </c>
      <c r="E8">
        <v>1578</v>
      </c>
      <c r="F8">
        <v>15</v>
      </c>
    </row>
    <row r="9" spans="1:6" x14ac:dyDescent="0.3">
      <c r="A9">
        <v>100000000</v>
      </c>
      <c r="B9">
        <v>7856519406</v>
      </c>
      <c r="C9">
        <v>23840750938</v>
      </c>
      <c r="D9">
        <v>31697270344</v>
      </c>
      <c r="E9">
        <v>38306</v>
      </c>
      <c r="F9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EB84-A8A8-4CF1-8965-A709590D5726}">
  <dimension ref="A1:F9"/>
  <sheetViews>
    <sheetView workbookViewId="0">
      <selection sqref="A1:F9"/>
    </sheetView>
  </sheetViews>
  <sheetFormatPr defaultRowHeight="14.4" x14ac:dyDescent="0.3"/>
  <cols>
    <col min="1" max="1" width="10" bestFit="1" customWidth="1"/>
    <col min="2" max="2" width="14.109375" bestFit="1" customWidth="1"/>
    <col min="3" max="3" width="16.44140625" bestFit="1" customWidth="1"/>
    <col min="4" max="4" width="45.6640625" bestFit="1" customWidth="1"/>
    <col min="5" max="5" width="24.88671875" bestFit="1" customWidth="1"/>
    <col min="6" max="6" width="2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32</v>
      </c>
      <c r="C2">
        <v>31</v>
      </c>
      <c r="D2">
        <v>63</v>
      </c>
      <c r="E2">
        <v>0</v>
      </c>
      <c r="F2">
        <v>11</v>
      </c>
    </row>
    <row r="3" spans="1:6" x14ac:dyDescent="0.3">
      <c r="A3">
        <v>100</v>
      </c>
      <c r="B3">
        <v>350</v>
      </c>
      <c r="C3">
        <v>326</v>
      </c>
      <c r="D3">
        <v>676</v>
      </c>
      <c r="E3">
        <v>0</v>
      </c>
      <c r="F3">
        <v>11</v>
      </c>
    </row>
    <row r="4" spans="1:6" x14ac:dyDescent="0.3">
      <c r="A4">
        <v>1000</v>
      </c>
      <c r="B4">
        <v>4035</v>
      </c>
      <c r="C4">
        <v>3482</v>
      </c>
      <c r="D4">
        <v>7517</v>
      </c>
      <c r="E4">
        <v>0</v>
      </c>
      <c r="F4">
        <v>11</v>
      </c>
    </row>
    <row r="5" spans="1:6" x14ac:dyDescent="0.3">
      <c r="A5">
        <v>10000</v>
      </c>
      <c r="B5">
        <v>45319</v>
      </c>
      <c r="C5">
        <v>37204</v>
      </c>
      <c r="D5">
        <v>82523</v>
      </c>
      <c r="E5">
        <v>1</v>
      </c>
      <c r="F5">
        <v>11</v>
      </c>
    </row>
    <row r="6" spans="1:6" x14ac:dyDescent="0.3">
      <c r="A6">
        <v>100000</v>
      </c>
      <c r="B6">
        <v>496132</v>
      </c>
      <c r="C6">
        <v>393773</v>
      </c>
      <c r="D6">
        <v>889905</v>
      </c>
      <c r="E6">
        <v>11</v>
      </c>
      <c r="F6">
        <v>11</v>
      </c>
    </row>
    <row r="7" spans="1:6" x14ac:dyDescent="0.3">
      <c r="A7">
        <v>1000000</v>
      </c>
      <c r="B7">
        <v>5323765</v>
      </c>
      <c r="C7">
        <v>4124214</v>
      </c>
      <c r="D7">
        <v>9447979</v>
      </c>
      <c r="E7">
        <v>21</v>
      </c>
      <c r="F7">
        <v>11</v>
      </c>
    </row>
    <row r="8" spans="1:6" x14ac:dyDescent="0.3">
      <c r="A8">
        <v>10000000</v>
      </c>
      <c r="B8">
        <v>56368292</v>
      </c>
      <c r="C8">
        <v>42856819</v>
      </c>
      <c r="D8">
        <v>99225111</v>
      </c>
      <c r="E8">
        <v>122</v>
      </c>
      <c r="F8">
        <v>11</v>
      </c>
    </row>
    <row r="9" spans="1:6" x14ac:dyDescent="0.3">
      <c r="A9">
        <v>100000000</v>
      </c>
      <c r="B9">
        <v>590913095</v>
      </c>
      <c r="C9">
        <v>442591431</v>
      </c>
      <c r="D9">
        <v>1033504526</v>
      </c>
      <c r="E9">
        <v>1454</v>
      </c>
      <c r="F9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1285-C9A3-4AC0-AFEF-D598B15F7C19}">
  <dimension ref="A1:F9"/>
  <sheetViews>
    <sheetView workbookViewId="0">
      <selection sqref="A1:F9"/>
    </sheetView>
  </sheetViews>
  <sheetFormatPr defaultRowHeight="14.4" x14ac:dyDescent="0.3"/>
  <cols>
    <col min="1" max="1" width="10" bestFit="1" customWidth="1"/>
    <col min="2" max="2" width="14.109375" bestFit="1" customWidth="1"/>
    <col min="3" max="3" width="16.44140625" bestFit="1" customWidth="1"/>
    <col min="4" max="4" width="45.6640625" bestFit="1" customWidth="1"/>
    <col min="5" max="5" width="24.88671875" bestFit="1" customWidth="1"/>
    <col min="6" max="6" width="2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71</v>
      </c>
      <c r="C2">
        <v>101</v>
      </c>
      <c r="D2">
        <v>172</v>
      </c>
      <c r="E2">
        <v>0</v>
      </c>
      <c r="F2">
        <v>30</v>
      </c>
    </row>
    <row r="3" spans="1:6" x14ac:dyDescent="0.3">
      <c r="A3">
        <v>100</v>
      </c>
      <c r="B3">
        <v>569</v>
      </c>
      <c r="C3">
        <v>915</v>
      </c>
      <c r="D3">
        <v>1484</v>
      </c>
      <c r="E3">
        <v>0</v>
      </c>
      <c r="F3">
        <v>30</v>
      </c>
    </row>
    <row r="4" spans="1:6" x14ac:dyDescent="0.3">
      <c r="A4">
        <v>1000</v>
      </c>
      <c r="B4">
        <v>6090</v>
      </c>
      <c r="C4">
        <v>10332</v>
      </c>
      <c r="D4">
        <v>16422</v>
      </c>
      <c r="E4">
        <v>0</v>
      </c>
      <c r="F4">
        <v>30</v>
      </c>
    </row>
    <row r="5" spans="1:6" x14ac:dyDescent="0.3">
      <c r="A5">
        <v>10000</v>
      </c>
      <c r="B5">
        <v>60607</v>
      </c>
      <c r="C5">
        <v>104456</v>
      </c>
      <c r="D5">
        <v>165063</v>
      </c>
      <c r="E5">
        <v>2</v>
      </c>
      <c r="F5">
        <v>30</v>
      </c>
    </row>
    <row r="6" spans="1:6" x14ac:dyDescent="0.3">
      <c r="A6">
        <v>100000</v>
      </c>
      <c r="B6">
        <v>609556</v>
      </c>
      <c r="C6">
        <v>1058666</v>
      </c>
      <c r="D6">
        <v>1668222</v>
      </c>
      <c r="E6">
        <v>12</v>
      </c>
      <c r="F6">
        <v>30</v>
      </c>
    </row>
    <row r="7" spans="1:6" x14ac:dyDescent="0.3">
      <c r="A7">
        <v>1000000</v>
      </c>
      <c r="B7">
        <v>6068489</v>
      </c>
      <c r="C7">
        <v>10576605</v>
      </c>
      <c r="D7">
        <v>16645094</v>
      </c>
      <c r="E7">
        <v>23</v>
      </c>
      <c r="F7">
        <v>30</v>
      </c>
    </row>
    <row r="8" spans="1:6" x14ac:dyDescent="0.3">
      <c r="A8">
        <v>10000000</v>
      </c>
      <c r="B8">
        <v>60624422</v>
      </c>
      <c r="C8">
        <v>105904222</v>
      </c>
      <c r="D8">
        <v>166528644</v>
      </c>
      <c r="E8">
        <v>86</v>
      </c>
      <c r="F8">
        <v>30</v>
      </c>
    </row>
    <row r="9" spans="1:6" x14ac:dyDescent="0.3">
      <c r="A9">
        <v>100000000</v>
      </c>
      <c r="B9">
        <v>605278378</v>
      </c>
      <c r="C9">
        <v>1058968310</v>
      </c>
      <c r="D9">
        <v>1664246688</v>
      </c>
      <c r="E9">
        <v>1445</v>
      </c>
      <c r="F9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8D66-6DF1-4370-B099-6624630851B1}">
  <dimension ref="A1:F9"/>
  <sheetViews>
    <sheetView workbookViewId="0">
      <selection sqref="A1:F9"/>
    </sheetView>
  </sheetViews>
  <sheetFormatPr defaultRowHeight="14.4" x14ac:dyDescent="0.3"/>
  <cols>
    <col min="1" max="1" width="10" bestFit="1" customWidth="1"/>
    <col min="2" max="2" width="14.109375" bestFit="1" customWidth="1"/>
    <col min="3" max="3" width="16.44140625" bestFit="1" customWidth="1"/>
    <col min="4" max="4" width="45.6640625" bestFit="1" customWidth="1"/>
    <col min="5" max="5" width="24.88671875" bestFit="1" customWidth="1"/>
    <col min="6" max="6" width="2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602</v>
      </c>
      <c r="C2">
        <v>636</v>
      </c>
      <c r="D2">
        <v>1238</v>
      </c>
      <c r="E2">
        <v>1</v>
      </c>
      <c r="F2">
        <v>42</v>
      </c>
    </row>
    <row r="3" spans="1:6" x14ac:dyDescent="0.3">
      <c r="A3">
        <v>100</v>
      </c>
      <c r="B3">
        <v>5161</v>
      </c>
      <c r="C3">
        <v>5571</v>
      </c>
      <c r="D3">
        <v>10732</v>
      </c>
      <c r="E3">
        <v>9</v>
      </c>
      <c r="F3">
        <v>42</v>
      </c>
    </row>
    <row r="4" spans="1:6" x14ac:dyDescent="0.3">
      <c r="A4">
        <v>1000</v>
      </c>
      <c r="B4">
        <v>38908</v>
      </c>
      <c r="C4">
        <v>43372</v>
      </c>
      <c r="D4">
        <v>82280</v>
      </c>
      <c r="E4">
        <v>13</v>
      </c>
      <c r="F4">
        <v>42</v>
      </c>
    </row>
    <row r="5" spans="1:6" x14ac:dyDescent="0.3">
      <c r="A5">
        <v>10000</v>
      </c>
      <c r="B5">
        <v>306706</v>
      </c>
      <c r="C5">
        <v>353275</v>
      </c>
      <c r="D5">
        <v>659981</v>
      </c>
      <c r="E5">
        <v>58</v>
      </c>
      <c r="F5">
        <v>42</v>
      </c>
    </row>
    <row r="6" spans="1:6" x14ac:dyDescent="0.3">
      <c r="A6">
        <v>100000</v>
      </c>
      <c r="B6">
        <v>2564239</v>
      </c>
      <c r="C6">
        <v>3037738</v>
      </c>
      <c r="D6">
        <v>5601977</v>
      </c>
      <c r="E6">
        <v>255</v>
      </c>
      <c r="F6">
        <v>42</v>
      </c>
    </row>
    <row r="7" spans="1:6" x14ac:dyDescent="0.3">
      <c r="A7">
        <v>1000000</v>
      </c>
      <c r="B7">
        <v>22195895</v>
      </c>
      <c r="C7">
        <v>26822389</v>
      </c>
      <c r="D7">
        <v>49018284</v>
      </c>
      <c r="E7">
        <v>2307</v>
      </c>
      <c r="F7">
        <v>42</v>
      </c>
    </row>
    <row r="8" spans="1:6" x14ac:dyDescent="0.3">
      <c r="A8">
        <v>10000000</v>
      </c>
      <c r="B8">
        <v>199880323</v>
      </c>
      <c r="C8">
        <v>247165471</v>
      </c>
      <c r="D8">
        <v>447045794</v>
      </c>
      <c r="E8">
        <v>19675</v>
      </c>
      <c r="F8">
        <v>42</v>
      </c>
    </row>
    <row r="9" spans="1:6" x14ac:dyDescent="0.3">
      <c r="A9">
        <v>100000000</v>
      </c>
      <c r="B9">
        <v>1830373607</v>
      </c>
      <c r="C9">
        <v>2304561056</v>
      </c>
      <c r="D9">
        <v>4134934663</v>
      </c>
      <c r="E9">
        <v>193228</v>
      </c>
      <c r="F9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C76C85-E66F-4C3A-8424-FCF0B23775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Resultados</vt:lpstr>
      <vt:lpstr>Graficos</vt:lpstr>
      <vt:lpstr>Factor de Crecimiento</vt:lpstr>
      <vt:lpstr>Resultados_1_Divisi_n_por_tenta</vt:lpstr>
      <vt:lpstr>Resultados_2_Criba_de_Erat_sten</vt:lpstr>
      <vt:lpstr>Resultados_3_Criba_de_Atkin</vt:lpstr>
      <vt:lpstr>Resultados_4_Miller-Rabin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RICARDO VARGAS ARAYA</dc:creator>
  <cp:lastModifiedBy>FABIAN RICARDO VARGAS ARAYA</cp:lastModifiedBy>
  <dcterms:created xsi:type="dcterms:W3CDTF">2025-04-13T03:10:52Z</dcterms:created>
  <dcterms:modified xsi:type="dcterms:W3CDTF">2025-04-13T22:31:24Z</dcterms:modified>
</cp:coreProperties>
</file>