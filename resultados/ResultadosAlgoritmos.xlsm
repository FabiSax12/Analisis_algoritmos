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las\Dev\Tec\DocsAlgo\resultados\"/>
    </mc:Choice>
  </mc:AlternateContent>
  <xr:revisionPtr revIDLastSave="0" documentId="13_ncr:1_{9078001B-2D63-4CF5-8D73-C32188F6CAC1}" xr6:coauthVersionLast="47" xr6:coauthVersionMax="47" xr10:uidLastSave="{00000000-0000-0000-0000-000000000000}"/>
  <bookViews>
    <workbookView xWindow="28680" yWindow="-120" windowWidth="29040" windowHeight="16440" activeTab="3" xr2:uid="{277EA52B-32CB-4C16-9B07-47DF8FF1B19C}"/>
  </bookViews>
  <sheets>
    <sheet name="ResultadosCribaEratostenes" sheetId="1" r:id="rId1"/>
    <sheet name="ResultadoMillerRabin" sheetId="3" r:id="rId2"/>
    <sheet name="ResultadoDivisionTentativaOpt" sheetId="4" r:id="rId3"/>
    <sheet name="ResultadosCribaAtkin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1" i="3" l="1"/>
  <c r="I2" i="5"/>
  <c r="M11" i="5"/>
  <c r="L11" i="5"/>
  <c r="K11" i="5"/>
  <c r="J11" i="5"/>
  <c r="I11" i="5"/>
  <c r="M10" i="5"/>
  <c r="L10" i="5"/>
  <c r="K10" i="5"/>
  <c r="J10" i="5"/>
  <c r="I10" i="5"/>
  <c r="M9" i="5"/>
  <c r="L9" i="5"/>
  <c r="K9" i="5"/>
  <c r="J9" i="5"/>
  <c r="I9" i="5"/>
  <c r="M8" i="5"/>
  <c r="L8" i="5"/>
  <c r="K8" i="5"/>
  <c r="J8" i="5"/>
  <c r="I8" i="5"/>
  <c r="M7" i="5"/>
  <c r="L7" i="5"/>
  <c r="K7" i="5"/>
  <c r="J7" i="5"/>
  <c r="I7" i="5"/>
  <c r="M6" i="5"/>
  <c r="L6" i="5"/>
  <c r="K6" i="5"/>
  <c r="J6" i="5"/>
  <c r="I6" i="5"/>
  <c r="M5" i="5"/>
  <c r="L5" i="5"/>
  <c r="K5" i="5"/>
  <c r="J5" i="5"/>
  <c r="I5" i="5"/>
  <c r="M4" i="5"/>
  <c r="L4" i="5"/>
  <c r="K4" i="5"/>
  <c r="J4" i="5"/>
  <c r="I4" i="5"/>
  <c r="M3" i="5"/>
  <c r="L3" i="5"/>
  <c r="K3" i="5"/>
  <c r="J3" i="5"/>
  <c r="I3" i="5"/>
  <c r="M2" i="5"/>
  <c r="L2" i="5"/>
  <c r="K2" i="5"/>
  <c r="J2" i="5"/>
  <c r="I4" i="3"/>
  <c r="I4" i="4"/>
  <c r="I3" i="4"/>
  <c r="I4" i="1"/>
  <c r="I3" i="1"/>
  <c r="K3" i="1" l="1"/>
  <c r="L3" i="1"/>
  <c r="J3" i="1"/>
  <c r="L2" i="1"/>
  <c r="K2" i="1"/>
  <c r="J2" i="1"/>
  <c r="M11" i="4"/>
  <c r="L11" i="4"/>
  <c r="K11" i="4"/>
  <c r="J11" i="4"/>
  <c r="I11" i="4"/>
  <c r="M10" i="4"/>
  <c r="L10" i="4"/>
  <c r="K10" i="4"/>
  <c r="J10" i="4"/>
  <c r="I10" i="4"/>
  <c r="M9" i="4"/>
  <c r="L9" i="4"/>
  <c r="K9" i="4"/>
  <c r="J9" i="4"/>
  <c r="I9" i="4"/>
  <c r="M8" i="4"/>
  <c r="L8" i="4"/>
  <c r="K8" i="4"/>
  <c r="J8" i="4"/>
  <c r="I8" i="4"/>
  <c r="M7" i="4"/>
  <c r="L7" i="4"/>
  <c r="K7" i="4"/>
  <c r="J7" i="4"/>
  <c r="I7" i="4"/>
  <c r="M6" i="4"/>
  <c r="L6" i="4"/>
  <c r="K6" i="4"/>
  <c r="J6" i="4"/>
  <c r="I6" i="4"/>
  <c r="M5" i="4"/>
  <c r="L5" i="4"/>
  <c r="K5" i="4"/>
  <c r="J5" i="4"/>
  <c r="I5" i="4"/>
  <c r="M4" i="4"/>
  <c r="L4" i="4"/>
  <c r="K4" i="4"/>
  <c r="J4" i="4"/>
  <c r="M3" i="4"/>
  <c r="L3" i="4"/>
  <c r="K3" i="4"/>
  <c r="J3" i="4"/>
  <c r="M2" i="4"/>
  <c r="L2" i="4"/>
  <c r="K2" i="4"/>
  <c r="J2" i="4"/>
  <c r="I2" i="4"/>
  <c r="L11" i="3"/>
  <c r="K11" i="3"/>
  <c r="J11" i="3"/>
  <c r="I11" i="3"/>
  <c r="M10" i="3"/>
  <c r="L10" i="3"/>
  <c r="K10" i="3"/>
  <c r="J10" i="3"/>
  <c r="I10" i="3"/>
  <c r="M9" i="3"/>
  <c r="L9" i="3"/>
  <c r="K9" i="3"/>
  <c r="J9" i="3"/>
  <c r="I9" i="3"/>
  <c r="M8" i="3"/>
  <c r="L8" i="3"/>
  <c r="K8" i="3"/>
  <c r="J8" i="3"/>
  <c r="I8" i="3"/>
  <c r="M7" i="3"/>
  <c r="L7" i="3"/>
  <c r="K7" i="3"/>
  <c r="J7" i="3"/>
  <c r="I7" i="3"/>
  <c r="M6" i="3"/>
  <c r="L6" i="3"/>
  <c r="K6" i="3"/>
  <c r="J6" i="3"/>
  <c r="I6" i="3"/>
  <c r="M5" i="3"/>
  <c r="L5" i="3"/>
  <c r="K5" i="3"/>
  <c r="J5" i="3"/>
  <c r="I5" i="3"/>
  <c r="M4" i="3"/>
  <c r="L4" i="3"/>
  <c r="K4" i="3"/>
  <c r="J4" i="3"/>
  <c r="M3" i="3"/>
  <c r="L3" i="3"/>
  <c r="K3" i="3"/>
  <c r="J3" i="3"/>
  <c r="I3" i="3"/>
  <c r="M2" i="3"/>
  <c r="L2" i="3"/>
  <c r="K2" i="3"/>
  <c r="J2" i="3"/>
  <c r="I2" i="3"/>
  <c r="L11" i="1"/>
  <c r="K11" i="1"/>
  <c r="J11" i="1"/>
  <c r="J10" i="1"/>
  <c r="J4" i="1"/>
  <c r="K4" i="1"/>
  <c r="L4" i="1"/>
  <c r="M4" i="1"/>
  <c r="J5" i="1"/>
  <c r="K5" i="1"/>
  <c r="L5" i="1"/>
  <c r="M5" i="1"/>
  <c r="J6" i="1"/>
  <c r="K6" i="1"/>
  <c r="L6" i="1"/>
  <c r="M6" i="1"/>
  <c r="J7" i="1"/>
  <c r="K7" i="1"/>
  <c r="L7" i="1"/>
  <c r="M7" i="1"/>
  <c r="J8" i="1"/>
  <c r="K8" i="1"/>
  <c r="L8" i="1"/>
  <c r="M8" i="1"/>
  <c r="J9" i="1"/>
  <c r="K9" i="1"/>
  <c r="L9" i="1"/>
  <c r="M9" i="1"/>
  <c r="K10" i="1"/>
  <c r="L10" i="1"/>
  <c r="M10" i="1"/>
  <c r="M11" i="1"/>
  <c r="I11" i="1"/>
  <c r="I10" i="1"/>
  <c r="I9" i="1"/>
  <c r="I8" i="1"/>
  <c r="I7" i="1"/>
  <c r="I6" i="1"/>
  <c r="I5" i="1"/>
  <c r="M3" i="1"/>
  <c r="M2" i="1"/>
  <c r="I2" i="1"/>
</calcChain>
</file>

<file path=xl/sharedStrings.xml><?xml version="1.0" encoding="utf-8"?>
<sst xmlns="http://schemas.openxmlformats.org/spreadsheetml/2006/main" count="88" uniqueCount="21">
  <si>
    <t>Asignaciones</t>
  </si>
  <si>
    <t>Comparaciones</t>
  </si>
  <si>
    <t>Tamaño</t>
  </si>
  <si>
    <t>Tiempo de ejecución (ms)</t>
  </si>
  <si>
    <t>Cantidad de líneas del código</t>
  </si>
  <si>
    <t>Cantidad de líneas ejecutadas</t>
  </si>
  <si>
    <t>Factor de talla</t>
  </si>
  <si>
    <t>Factor de Asignaciones</t>
  </si>
  <si>
    <t>Factor de comparaciones</t>
  </si>
  <si>
    <t>Factor Cantidad de líneas ejecutadas</t>
  </si>
  <si>
    <t>Factor Tiempo de ejecución</t>
  </si>
  <si>
    <t>10 - 100</t>
  </si>
  <si>
    <t>10 - 1000</t>
  </si>
  <si>
    <t>10 - 10 000</t>
  </si>
  <si>
    <t>10 - 100 000</t>
  </si>
  <si>
    <t>100 - 1000</t>
  </si>
  <si>
    <t>1000 - 10 000</t>
  </si>
  <si>
    <t>100 - 10 000</t>
  </si>
  <si>
    <t>1000 - 100 000</t>
  </si>
  <si>
    <t>100000 - 1 000 000</t>
  </si>
  <si>
    <t>1 000 000 - 10 000 000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</si>
</sst>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1"/>
      <name val="Aptos"/>
      <family val="2"/>
    </font>
    <font>
      <sz val="10"/>
      <color rgb="FF434343"/>
      <name val="Roboto"/>
    </font>
    <font>
      <sz val="11"/>
      <color rgb="FF000000"/>
      <name val="Aptos Narrow"/>
      <family val="2"/>
      <scheme val="minor"/>
    </font>
    <font>
      <sz val="10"/>
      <color rgb="FF000000"/>
      <name val="Aptos"/>
      <family val="2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86DCD"/>
        <bgColor rgb="FF000000"/>
      </patternFill>
    </fill>
    <fill>
      <patternFill patternType="solid">
        <fgColor rgb="FFF2CEEF"/>
        <bgColor rgb="FF000000"/>
      </patternFill>
    </fill>
    <fill>
      <patternFill patternType="solid">
        <fgColor rgb="FFFFFF99"/>
        <bgColor indexed="64"/>
      </patternFill>
    </fill>
    <fill>
      <patternFill patternType="solid">
        <fgColor rgb="FFF6C7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6">
    <xf numFmtId="0" fontId="0" fillId="0" borderId="0" xfId="0"/>
    <xf numFmtId="0" fontId="0" fillId="33" borderId="10" xfId="0" applyFill="1" applyBorder="1"/>
    <xf numFmtId="0" fontId="18" fillId="34" borderId="10" xfId="0" applyFont="1" applyFill="1" applyBorder="1" applyAlignment="1">
      <alignment horizontal="center" vertical="center" wrapText="1"/>
    </xf>
    <xf numFmtId="0" fontId="18" fillId="34" borderId="12" xfId="0" applyFont="1" applyFill="1" applyBorder="1" applyAlignment="1">
      <alignment horizontal="center" vertical="center" wrapText="1"/>
    </xf>
    <xf numFmtId="0" fontId="0" fillId="34" borderId="10" xfId="0" applyFill="1" applyBorder="1" applyAlignment="1">
      <alignment horizontal="center"/>
    </xf>
    <xf numFmtId="0" fontId="0" fillId="34" borderId="10" xfId="0" applyFill="1" applyBorder="1" applyAlignment="1">
      <alignment horizontal="center" wrapText="1"/>
    </xf>
    <xf numFmtId="0" fontId="18" fillId="34" borderId="10" xfId="0" applyFont="1" applyFill="1" applyBorder="1" applyAlignment="1">
      <alignment horizontal="center"/>
    </xf>
    <xf numFmtId="0" fontId="0" fillId="34" borderId="10" xfId="0" applyFill="1" applyBorder="1"/>
    <xf numFmtId="2" fontId="19" fillId="34" borderId="11" xfId="0" applyNumberFormat="1" applyFont="1" applyFill="1" applyBorder="1" applyAlignment="1">
      <alignment vertical="center" wrapText="1"/>
    </xf>
    <xf numFmtId="0" fontId="0" fillId="35" borderId="10" xfId="0" applyFill="1" applyBorder="1"/>
    <xf numFmtId="0" fontId="0" fillId="0" borderId="0" xfId="0" applyAlignment="1">
      <alignment horizontal="center"/>
    </xf>
    <xf numFmtId="2" fontId="19" fillId="35" borderId="11" xfId="0" applyNumberFormat="1" applyFont="1" applyFill="1" applyBorder="1" applyAlignment="1">
      <alignment horizontal="center" vertical="center" wrapText="1"/>
    </xf>
    <xf numFmtId="0" fontId="0" fillId="36" borderId="10" xfId="0" applyFill="1" applyBorder="1" applyAlignment="1">
      <alignment horizontal="center"/>
    </xf>
    <xf numFmtId="0" fontId="18" fillId="36" borderId="10" xfId="0" applyFont="1" applyFill="1" applyBorder="1" applyAlignment="1">
      <alignment horizontal="center" vertical="center" wrapText="1"/>
    </xf>
    <xf numFmtId="2" fontId="19" fillId="36" borderId="11" xfId="0" applyNumberFormat="1" applyFont="1" applyFill="1" applyBorder="1" applyAlignment="1">
      <alignment horizontal="center" vertical="center" wrapText="1"/>
    </xf>
    <xf numFmtId="0" fontId="18" fillId="36" borderId="12" xfId="0" applyFont="1" applyFill="1" applyBorder="1" applyAlignment="1">
      <alignment horizontal="center" vertical="center" wrapText="1"/>
    </xf>
    <xf numFmtId="0" fontId="0" fillId="36" borderId="10" xfId="0" applyFill="1" applyBorder="1" applyAlignment="1">
      <alignment horizontal="center" wrapText="1"/>
    </xf>
    <xf numFmtId="0" fontId="18" fillId="36" borderId="10" xfId="0" applyFont="1" applyFill="1" applyBorder="1" applyAlignment="1">
      <alignment horizontal="center"/>
    </xf>
    <xf numFmtId="0" fontId="0" fillId="37" borderId="10" xfId="0" applyFill="1" applyBorder="1" applyAlignment="1">
      <alignment horizontal="center"/>
    </xf>
    <xf numFmtId="0" fontId="21" fillId="39" borderId="12" xfId="0" applyFont="1" applyFill="1" applyBorder="1" applyAlignment="1">
      <alignment vertical="center" wrapText="1"/>
    </xf>
    <xf numFmtId="0" fontId="20" fillId="39" borderId="12" xfId="0" applyFont="1" applyFill="1" applyBorder="1" applyAlignment="1">
      <alignment wrapText="1"/>
    </xf>
    <xf numFmtId="0" fontId="20" fillId="38" borderId="10" xfId="0" applyFont="1" applyFill="1" applyBorder="1" applyAlignment="1">
      <alignment horizontal="center"/>
    </xf>
    <xf numFmtId="0" fontId="20" fillId="38" borderId="11" xfId="0" applyFont="1" applyFill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39" borderId="12" xfId="0" applyFont="1" applyFill="1" applyBorder="1" applyAlignment="1">
      <alignment horizontal="center"/>
    </xf>
    <xf numFmtId="0" fontId="20" fillId="39" borderId="13" xfId="0" applyFont="1" applyFill="1" applyBorder="1" applyAlignment="1">
      <alignment horizontal="center"/>
    </xf>
    <xf numFmtId="0" fontId="20" fillId="38" borderId="10" xfId="0" applyFont="1" applyFill="1" applyBorder="1"/>
    <xf numFmtId="0" fontId="20" fillId="38" borderId="11" xfId="0" applyFont="1" applyFill="1" applyBorder="1"/>
    <xf numFmtId="0" fontId="20" fillId="39" borderId="12" xfId="0" applyFont="1" applyFill="1" applyBorder="1"/>
    <xf numFmtId="0" fontId="21" fillId="39" borderId="12" xfId="0" applyFont="1" applyFill="1" applyBorder="1"/>
    <xf numFmtId="1" fontId="19" fillId="35" borderId="11" xfId="0" applyNumberFormat="1" applyFont="1" applyFill="1" applyBorder="1" applyAlignment="1">
      <alignment horizontal="center" vertical="center" wrapText="1"/>
    </xf>
    <xf numFmtId="1" fontId="19" fillId="34" borderId="11" xfId="0" applyNumberFormat="1" applyFont="1" applyFill="1" applyBorder="1" applyAlignment="1">
      <alignment vertical="center" wrapText="1"/>
    </xf>
    <xf numFmtId="1" fontId="19" fillId="36" borderId="11" xfId="0" applyNumberFormat="1" applyFont="1" applyFill="1" applyBorder="1" applyAlignment="1">
      <alignment horizontal="center" vertical="center" wrapText="1"/>
    </xf>
    <xf numFmtId="0" fontId="0" fillId="34" borderId="14" xfId="0" applyFill="1" applyBorder="1"/>
    <xf numFmtId="0" fontId="0" fillId="34" borderId="11" xfId="0" applyFill="1" applyBorder="1"/>
    <xf numFmtId="0" fontId="0" fillId="33" borderId="15" xfId="0" applyFill="1" applyBorder="1"/>
    <xf numFmtId="0" fontId="0" fillId="40" borderId="10" xfId="0" applyFill="1" applyBorder="1"/>
    <xf numFmtId="0" fontId="18" fillId="40" borderId="10" xfId="0" applyFont="1" applyFill="1" applyBorder="1" applyAlignment="1">
      <alignment horizontal="center" vertical="center" wrapText="1"/>
    </xf>
    <xf numFmtId="1" fontId="19" fillId="40" borderId="11" xfId="0" applyNumberFormat="1" applyFont="1" applyFill="1" applyBorder="1" applyAlignment="1">
      <alignment horizontal="center" vertical="center" wrapText="1"/>
    </xf>
    <xf numFmtId="2" fontId="19" fillId="40" borderId="11" xfId="0" applyNumberFormat="1" applyFont="1" applyFill="1" applyBorder="1" applyAlignment="1">
      <alignment horizontal="center" vertical="center" wrapText="1"/>
    </xf>
    <xf numFmtId="0" fontId="18" fillId="40" borderId="12" xfId="0" applyFont="1" applyFill="1" applyBorder="1" applyAlignment="1">
      <alignment horizontal="center" vertical="center" wrapText="1"/>
    </xf>
    <xf numFmtId="0" fontId="0" fillId="40" borderId="10" xfId="0" applyFill="1" applyBorder="1" applyAlignment="1">
      <alignment horizontal="center" vertical="center"/>
    </xf>
    <xf numFmtId="0" fontId="0" fillId="40" borderId="10" xfId="0" applyFill="1" applyBorder="1" applyAlignment="1">
      <alignment horizontal="center" vertical="center" wrapText="1"/>
    </xf>
    <xf numFmtId="0" fontId="18" fillId="40" borderId="10" xfId="0" applyFont="1" applyFill="1" applyBorder="1" applyAlignment="1">
      <alignment horizontal="center" vertical="center"/>
    </xf>
    <xf numFmtId="0" fontId="0" fillId="41" borderId="10" xfId="0" applyFill="1" applyBorder="1"/>
    <xf numFmtId="0" fontId="0" fillId="41" borderId="10" xfId="0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6C7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28EF6-5BCB-459D-A28A-CB471D09FDCC}">
  <sheetPr codeName="Sheet1"/>
  <dimension ref="A1:M11"/>
  <sheetViews>
    <sheetView workbookViewId="0">
      <selection activeCell="E26" sqref="E26"/>
    </sheetView>
  </sheetViews>
  <sheetFormatPr defaultRowHeight="14.4" x14ac:dyDescent="0.3"/>
  <cols>
    <col min="1" max="1" width="10" bestFit="1" customWidth="1"/>
    <col min="2" max="2" width="12.44140625" bestFit="1" customWidth="1"/>
    <col min="3" max="3" width="14.6640625" bestFit="1" customWidth="1"/>
    <col min="4" max="4" width="27.33203125" bestFit="1" customWidth="1"/>
    <col min="5" max="5" width="23.44140625" bestFit="1" customWidth="1"/>
    <col min="6" max="6" width="26.77734375" bestFit="1" customWidth="1"/>
    <col min="8" max="8" width="19" bestFit="1" customWidth="1"/>
    <col min="9" max="9" width="13.33203125" bestFit="1" customWidth="1"/>
    <col min="10" max="10" width="21.21875" bestFit="1" customWidth="1"/>
    <col min="11" max="11" width="23.21875" bestFit="1" customWidth="1"/>
    <col min="12" max="12" width="33.44140625" bestFit="1" customWidth="1"/>
    <col min="13" max="13" width="25" bestFit="1" customWidth="1"/>
  </cols>
  <sheetData>
    <row r="1" spans="1:13" ht="15" thickBot="1" x14ac:dyDescent="0.35">
      <c r="A1" s="1" t="s">
        <v>2</v>
      </c>
      <c r="B1" s="1" t="s">
        <v>0</v>
      </c>
      <c r="C1" s="1" t="s">
        <v>1</v>
      </c>
      <c r="D1" s="1" t="s">
        <v>5</v>
      </c>
      <c r="E1" s="35" t="s">
        <v>3</v>
      </c>
      <c r="F1" s="1" t="s">
        <v>4</v>
      </c>
      <c r="H1" s="1" t="s">
        <v>2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</row>
    <row r="2" spans="1:13" ht="15" thickBot="1" x14ac:dyDescent="0.35">
      <c r="A2" s="7">
        <v>10</v>
      </c>
      <c r="B2" s="7">
        <v>32</v>
      </c>
      <c r="C2" s="7">
        <v>31</v>
      </c>
      <c r="D2" s="33">
        <v>63</v>
      </c>
      <c r="E2" s="7">
        <v>3.4099999999999998E-2</v>
      </c>
      <c r="F2" s="34">
        <v>11</v>
      </c>
      <c r="H2" s="2" t="s">
        <v>11</v>
      </c>
      <c r="I2" s="31">
        <f>A3/A2</f>
        <v>10</v>
      </c>
      <c r="J2" s="8">
        <f>B3/B2</f>
        <v>10.9375</v>
      </c>
      <c r="K2" s="8">
        <f>C3/C2</f>
        <v>10.516129032258064</v>
      </c>
      <c r="L2" s="8">
        <f>D3/D2</f>
        <v>10.730158730158729</v>
      </c>
      <c r="M2" s="8">
        <f t="shared" ref="M2" si="0">E3/E2</f>
        <v>1.0293255131964809</v>
      </c>
    </row>
    <row r="3" spans="1:13" ht="15" thickBot="1" x14ac:dyDescent="0.35">
      <c r="A3" s="7">
        <v>100</v>
      </c>
      <c r="B3" s="7">
        <v>350</v>
      </c>
      <c r="C3" s="7">
        <v>326</v>
      </c>
      <c r="D3" s="33">
        <v>676</v>
      </c>
      <c r="E3" s="7">
        <v>3.5099999999999999E-2</v>
      </c>
      <c r="F3" s="34">
        <v>11</v>
      </c>
      <c r="H3" s="3" t="s">
        <v>12</v>
      </c>
      <c r="I3" s="31">
        <f>A4/A2</f>
        <v>100</v>
      </c>
      <c r="J3" s="8">
        <f>B4/B2</f>
        <v>126.09375</v>
      </c>
      <c r="K3" s="8">
        <f>C4/C2</f>
        <v>112.3225806451613</v>
      </c>
      <c r="L3" s="8">
        <f>D4/D2</f>
        <v>119.31746031746032</v>
      </c>
      <c r="M3" s="8">
        <f t="shared" ref="M3" si="1">E4/E2</f>
        <v>5.1466275659824046</v>
      </c>
    </row>
    <row r="4" spans="1:13" ht="15" thickBot="1" x14ac:dyDescent="0.35">
      <c r="A4" s="7">
        <v>1000</v>
      </c>
      <c r="B4" s="7">
        <v>4035</v>
      </c>
      <c r="C4" s="7">
        <v>3482</v>
      </c>
      <c r="D4" s="33">
        <v>7517</v>
      </c>
      <c r="E4" s="7">
        <v>0.17549999999999999</v>
      </c>
      <c r="F4" s="34">
        <v>11</v>
      </c>
      <c r="H4" s="3" t="s">
        <v>13</v>
      </c>
      <c r="I4" s="31">
        <f>A5/A2</f>
        <v>1000</v>
      </c>
      <c r="J4" s="8">
        <f t="shared" ref="J4:M4" si="2">B5/B2</f>
        <v>1416.21875</v>
      </c>
      <c r="K4" s="8">
        <f t="shared" si="2"/>
        <v>1200.1290322580646</v>
      </c>
      <c r="L4" s="8">
        <f t="shared" si="2"/>
        <v>1309.8888888888889</v>
      </c>
      <c r="M4" s="8">
        <f t="shared" si="2"/>
        <v>29.354838709677416</v>
      </c>
    </row>
    <row r="5" spans="1:13" ht="15" thickBot="1" x14ac:dyDescent="0.35">
      <c r="A5" s="7">
        <v>10000</v>
      </c>
      <c r="B5" s="7">
        <v>45319</v>
      </c>
      <c r="C5" s="7">
        <v>37204</v>
      </c>
      <c r="D5" s="33">
        <v>82523</v>
      </c>
      <c r="E5" s="7">
        <v>1.0009999999999999</v>
      </c>
      <c r="F5" s="34">
        <v>11</v>
      </c>
      <c r="H5" s="3" t="s">
        <v>14</v>
      </c>
      <c r="I5" s="31">
        <f>A6/A2</f>
        <v>10000</v>
      </c>
      <c r="J5" s="8">
        <f t="shared" ref="J5:M5" si="3">B6/B2</f>
        <v>15504.125</v>
      </c>
      <c r="K5" s="8">
        <f t="shared" si="3"/>
        <v>12702.354838709678</v>
      </c>
      <c r="L5" s="8">
        <f t="shared" si="3"/>
        <v>14125.476190476191</v>
      </c>
      <c r="M5" s="8">
        <f t="shared" si="3"/>
        <v>110.3108504398827</v>
      </c>
    </row>
    <row r="6" spans="1:13" ht="15" thickBot="1" x14ac:dyDescent="0.35">
      <c r="A6" s="7">
        <v>100000</v>
      </c>
      <c r="B6" s="7">
        <v>496132</v>
      </c>
      <c r="C6" s="7">
        <v>393773</v>
      </c>
      <c r="D6" s="33">
        <v>889905</v>
      </c>
      <c r="E6" s="7">
        <v>3.7616000000000001</v>
      </c>
      <c r="F6" s="34">
        <v>11</v>
      </c>
      <c r="H6" s="3" t="s">
        <v>15</v>
      </c>
      <c r="I6" s="31">
        <f>A4/A3</f>
        <v>10</v>
      </c>
      <c r="J6" s="8">
        <f t="shared" ref="J6:M6" si="4">B4/B3</f>
        <v>11.528571428571428</v>
      </c>
      <c r="K6" s="8">
        <f t="shared" si="4"/>
        <v>10.680981595092025</v>
      </c>
      <c r="L6" s="8">
        <f t="shared" si="4"/>
        <v>11.1198224852071</v>
      </c>
      <c r="M6" s="8">
        <f t="shared" si="4"/>
        <v>5</v>
      </c>
    </row>
    <row r="7" spans="1:13" ht="15" thickBot="1" x14ac:dyDescent="0.35">
      <c r="A7" s="7">
        <v>1000000</v>
      </c>
      <c r="B7" s="7">
        <v>5323765</v>
      </c>
      <c r="C7" s="7">
        <v>4124214</v>
      </c>
      <c r="D7" s="33">
        <v>9447979</v>
      </c>
      <c r="E7" s="7">
        <v>15.135400000000001</v>
      </c>
      <c r="F7" s="34">
        <v>11</v>
      </c>
      <c r="H7" s="3" t="s">
        <v>16</v>
      </c>
      <c r="I7" s="31">
        <f>A5/A4</f>
        <v>10</v>
      </c>
      <c r="J7" s="8">
        <f t="shared" ref="J7:M7" si="5">B5/B4</f>
        <v>11.231474597273854</v>
      </c>
      <c r="K7" s="8">
        <f t="shared" si="5"/>
        <v>10.684663986214819</v>
      </c>
      <c r="L7" s="8">
        <f t="shared" si="5"/>
        <v>10.978182785685778</v>
      </c>
      <c r="M7" s="8">
        <f t="shared" si="5"/>
        <v>5.7037037037037033</v>
      </c>
    </row>
    <row r="8" spans="1:13" ht="15" thickBot="1" x14ac:dyDescent="0.35">
      <c r="A8" s="7">
        <v>10000000</v>
      </c>
      <c r="B8" s="7">
        <v>56368292</v>
      </c>
      <c r="C8" s="7">
        <v>42856819</v>
      </c>
      <c r="D8" s="33">
        <v>99225111</v>
      </c>
      <c r="E8" s="7">
        <v>69.514499999999998</v>
      </c>
      <c r="F8" s="34">
        <v>11</v>
      </c>
      <c r="H8" s="4" t="s">
        <v>19</v>
      </c>
      <c r="I8" s="31">
        <f>A7/A6</f>
        <v>10</v>
      </c>
      <c r="J8" s="8">
        <f t="shared" ref="J8:M8" si="6">B7/B6</f>
        <v>10.730541468802658</v>
      </c>
      <c r="K8" s="8">
        <f t="shared" si="6"/>
        <v>10.473582495498675</v>
      </c>
      <c r="L8" s="8">
        <f t="shared" si="6"/>
        <v>10.616839999775257</v>
      </c>
      <c r="M8" s="8">
        <f t="shared" si="6"/>
        <v>4.0236601446193108</v>
      </c>
    </row>
    <row r="9" spans="1:13" ht="15" thickBot="1" x14ac:dyDescent="0.35">
      <c r="A9" s="7">
        <v>100000000</v>
      </c>
      <c r="B9" s="7">
        <v>590913095</v>
      </c>
      <c r="C9" s="7">
        <v>442591431</v>
      </c>
      <c r="D9" s="33">
        <v>1033504526</v>
      </c>
      <c r="E9" s="7">
        <v>1362.2035000000001</v>
      </c>
      <c r="F9" s="34">
        <v>11</v>
      </c>
      <c r="H9" s="5" t="s">
        <v>20</v>
      </c>
      <c r="I9" s="31">
        <f>A8/A7</f>
        <v>10</v>
      </c>
      <c r="J9" s="8">
        <f t="shared" ref="J9:M9" si="7">B8/B7</f>
        <v>10.588050374124327</v>
      </c>
      <c r="K9" s="8">
        <f t="shared" si="7"/>
        <v>10.391511934152787</v>
      </c>
      <c r="L9" s="8">
        <f t="shared" si="7"/>
        <v>10.502257784442577</v>
      </c>
      <c r="M9" s="8">
        <f t="shared" si="7"/>
        <v>4.5928419466945041</v>
      </c>
    </row>
    <row r="10" spans="1:13" ht="15" thickBot="1" x14ac:dyDescent="0.35">
      <c r="H10" s="6" t="s">
        <v>17</v>
      </c>
      <c r="I10" s="31">
        <f>A5/A3</f>
        <v>100</v>
      </c>
      <c r="J10" s="8">
        <f>B5/B3</f>
        <v>129.48285714285714</v>
      </c>
      <c r="K10" s="8">
        <f t="shared" ref="K10:M10" si="8">C5/C3</f>
        <v>114.12269938650307</v>
      </c>
      <c r="L10" s="8">
        <f t="shared" si="8"/>
        <v>122.07544378698225</v>
      </c>
      <c r="M10" s="8">
        <f t="shared" si="8"/>
        <v>28.518518518518515</v>
      </c>
    </row>
    <row r="11" spans="1:13" ht="15" thickBot="1" x14ac:dyDescent="0.35">
      <c r="H11" s="4" t="s">
        <v>18</v>
      </c>
      <c r="I11" s="31">
        <f>A6/A4</f>
        <v>100</v>
      </c>
      <c r="J11" s="8">
        <f>B6/B4</f>
        <v>122.95712515489467</v>
      </c>
      <c r="K11" s="8">
        <f>C6/C4</f>
        <v>113.08816771970132</v>
      </c>
      <c r="L11" s="8">
        <f>D6/D4</f>
        <v>118.38565917254223</v>
      </c>
      <c r="M11" s="8">
        <f t="shared" ref="M11" si="9">E6/E4</f>
        <v>21.433618233618237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D9DF6-4AC1-4233-918A-BE9AA854DEB4}">
  <sheetPr codeName="Sheet2"/>
  <dimension ref="A1:M11"/>
  <sheetViews>
    <sheetView workbookViewId="0">
      <selection activeCell="A2" sqref="A2:F9"/>
    </sheetView>
  </sheetViews>
  <sheetFormatPr defaultRowHeight="14.4" x14ac:dyDescent="0.3"/>
  <cols>
    <col min="1" max="1" width="10" bestFit="1" customWidth="1"/>
    <col min="2" max="2" width="12.44140625" bestFit="1" customWidth="1"/>
    <col min="3" max="3" width="14.6640625" bestFit="1" customWidth="1"/>
    <col min="4" max="4" width="27.33203125" bestFit="1" customWidth="1"/>
    <col min="5" max="5" width="23.44140625" bestFit="1" customWidth="1"/>
    <col min="6" max="6" width="26.77734375" bestFit="1" customWidth="1"/>
    <col min="8" max="8" width="19" bestFit="1" customWidth="1"/>
    <col min="9" max="9" width="13.33203125" bestFit="1" customWidth="1"/>
    <col min="10" max="10" width="21.21875" bestFit="1" customWidth="1"/>
    <col min="11" max="11" width="23.21875" bestFit="1" customWidth="1"/>
    <col min="12" max="12" width="33.44140625" bestFit="1" customWidth="1"/>
    <col min="13" max="13" width="25" bestFit="1" customWidth="1"/>
  </cols>
  <sheetData>
    <row r="1" spans="1:13" ht="15" thickBot="1" x14ac:dyDescent="0.35">
      <c r="A1" s="44" t="s">
        <v>2</v>
      </c>
      <c r="B1" s="44" t="s">
        <v>0</v>
      </c>
      <c r="C1" s="44" t="s">
        <v>1</v>
      </c>
      <c r="D1" s="44" t="s">
        <v>5</v>
      </c>
      <c r="E1" s="44" t="s">
        <v>3</v>
      </c>
      <c r="F1" s="44" t="s">
        <v>4</v>
      </c>
      <c r="H1" s="45" t="s">
        <v>2</v>
      </c>
      <c r="I1" s="45" t="s">
        <v>6</v>
      </c>
      <c r="J1" s="45" t="s">
        <v>7</v>
      </c>
      <c r="K1" s="45" t="s">
        <v>8</v>
      </c>
      <c r="L1" s="45" t="s">
        <v>9</v>
      </c>
      <c r="M1" s="45" t="s">
        <v>10</v>
      </c>
    </row>
    <row r="2" spans="1:13" ht="15" thickBot="1" x14ac:dyDescent="0.35">
      <c r="A2" s="36">
        <v>10</v>
      </c>
      <c r="B2" s="36">
        <v>590</v>
      </c>
      <c r="C2" s="36">
        <v>621</v>
      </c>
      <c r="D2" s="36">
        <v>1211</v>
      </c>
      <c r="E2" s="36">
        <v>1.468</v>
      </c>
      <c r="F2" s="36">
        <v>42</v>
      </c>
      <c r="H2" s="37" t="s">
        <v>11</v>
      </c>
      <c r="I2" s="38">
        <f>A3/A2</f>
        <v>10</v>
      </c>
      <c r="J2" s="39">
        <f>B3/B2</f>
        <v>8.8525423728813557</v>
      </c>
      <c r="K2" s="39">
        <f t="shared" ref="K2:M2" si="0">C3/C2</f>
        <v>9.1030595813204513</v>
      </c>
      <c r="L2" s="39">
        <f t="shared" si="0"/>
        <v>8.9810074318744846</v>
      </c>
      <c r="M2" s="39">
        <f t="shared" si="0"/>
        <v>5.7206403269754773</v>
      </c>
    </row>
    <row r="3" spans="1:13" ht="15" thickBot="1" x14ac:dyDescent="0.35">
      <c r="A3" s="36">
        <v>100</v>
      </c>
      <c r="B3" s="36">
        <v>5223</v>
      </c>
      <c r="C3" s="36">
        <v>5653</v>
      </c>
      <c r="D3" s="36">
        <v>10876</v>
      </c>
      <c r="E3" s="36">
        <v>8.3978999999999999</v>
      </c>
      <c r="F3" s="36">
        <v>42</v>
      </c>
      <c r="H3" s="40" t="s">
        <v>12</v>
      </c>
      <c r="I3" s="38">
        <f>A4/A2</f>
        <v>100</v>
      </c>
      <c r="J3" s="39">
        <f t="shared" ref="J3:M3" si="1">B4/B2</f>
        <v>65.855932203389827</v>
      </c>
      <c r="K3" s="39">
        <f t="shared" si="1"/>
        <v>69.732689210950085</v>
      </c>
      <c r="L3" s="39">
        <f t="shared" si="1"/>
        <v>67.843930635838149</v>
      </c>
      <c r="M3" s="39">
        <f t="shared" si="1"/>
        <v>9.6347411444141695</v>
      </c>
    </row>
    <row r="4" spans="1:13" ht="15" thickBot="1" x14ac:dyDescent="0.35">
      <c r="A4" s="36">
        <v>1000</v>
      </c>
      <c r="B4" s="36">
        <v>38855</v>
      </c>
      <c r="C4" s="36">
        <v>43304</v>
      </c>
      <c r="D4" s="36">
        <v>82159</v>
      </c>
      <c r="E4" s="36">
        <v>14.143800000000001</v>
      </c>
      <c r="F4" s="36">
        <v>42</v>
      </c>
      <c r="H4" s="40" t="s">
        <v>13</v>
      </c>
      <c r="I4" s="38">
        <f>A5/A2</f>
        <v>1000</v>
      </c>
      <c r="J4" s="39">
        <f t="shared" ref="J4:M4" si="2">B5/B2</f>
        <v>520.13050847457623</v>
      </c>
      <c r="K4" s="39">
        <f t="shared" si="2"/>
        <v>569.50241545893721</v>
      </c>
      <c r="L4" s="39">
        <f t="shared" si="2"/>
        <v>545.44838976052847</v>
      </c>
      <c r="M4" s="39">
        <f t="shared" si="2"/>
        <v>39.394005449591276</v>
      </c>
    </row>
    <row r="5" spans="1:13" ht="15" thickBot="1" x14ac:dyDescent="0.35">
      <c r="A5" s="36">
        <v>10000</v>
      </c>
      <c r="B5" s="36">
        <v>306877</v>
      </c>
      <c r="C5" s="36">
        <v>353661</v>
      </c>
      <c r="D5" s="36">
        <v>660538</v>
      </c>
      <c r="E5" s="36">
        <v>57.830399999999997</v>
      </c>
      <c r="F5" s="36">
        <v>42</v>
      </c>
      <c r="H5" s="40" t="s">
        <v>14</v>
      </c>
      <c r="I5" s="38">
        <f>A6/A2</f>
        <v>10000</v>
      </c>
      <c r="J5" s="39">
        <f t="shared" ref="J5:M5" si="3">B6/B2</f>
        <v>4345.3694915254237</v>
      </c>
      <c r="K5" s="39">
        <f t="shared" si="3"/>
        <v>4891.0112721417072</v>
      </c>
      <c r="L5" s="39">
        <f t="shared" si="3"/>
        <v>4625.1742361684555</v>
      </c>
      <c r="M5" s="39">
        <f t="shared" si="3"/>
        <v>165.86137602179838</v>
      </c>
    </row>
    <row r="6" spans="1:13" ht="15" thickBot="1" x14ac:dyDescent="0.35">
      <c r="A6" s="36">
        <v>100000</v>
      </c>
      <c r="B6" s="36">
        <v>2563768</v>
      </c>
      <c r="C6" s="36">
        <v>3037318</v>
      </c>
      <c r="D6" s="36">
        <v>5601086</v>
      </c>
      <c r="E6" s="36">
        <v>243.4845</v>
      </c>
      <c r="F6" s="36">
        <v>42</v>
      </c>
      <c r="H6" s="40" t="s">
        <v>15</v>
      </c>
      <c r="I6" s="38">
        <f>A4/A3</f>
        <v>10</v>
      </c>
      <c r="J6" s="39">
        <f t="shared" ref="J6:M7" si="4">B4/B3</f>
        <v>7.4392111813134214</v>
      </c>
      <c r="K6" s="39">
        <f t="shared" si="4"/>
        <v>7.6603573323898813</v>
      </c>
      <c r="L6" s="39">
        <f t="shared" si="4"/>
        <v>7.5541559396837075</v>
      </c>
      <c r="M6" s="39">
        <f t="shared" si="4"/>
        <v>1.6842067659772086</v>
      </c>
    </row>
    <row r="7" spans="1:13" ht="15" thickBot="1" x14ac:dyDescent="0.35">
      <c r="A7" s="36">
        <v>1000000</v>
      </c>
      <c r="B7" s="36">
        <v>22192347</v>
      </c>
      <c r="C7" s="36">
        <v>26816993</v>
      </c>
      <c r="D7" s="36">
        <v>49009340</v>
      </c>
      <c r="E7" s="36">
        <v>1482.2955999999999</v>
      </c>
      <c r="F7" s="36">
        <v>42</v>
      </c>
      <c r="H7" s="40" t="s">
        <v>16</v>
      </c>
      <c r="I7" s="38">
        <f>A5/A4</f>
        <v>10</v>
      </c>
      <c r="J7" s="39">
        <f t="shared" si="4"/>
        <v>7.8980054047098189</v>
      </c>
      <c r="K7" s="39">
        <f t="shared" si="4"/>
        <v>8.1669360798078703</v>
      </c>
      <c r="L7" s="39">
        <f t="shared" si="4"/>
        <v>8.0397521878309135</v>
      </c>
      <c r="M7" s="39">
        <f t="shared" si="4"/>
        <v>4.0887455987782628</v>
      </c>
    </row>
    <row r="8" spans="1:13" ht="15" thickBot="1" x14ac:dyDescent="0.35">
      <c r="A8" s="36">
        <v>10000000</v>
      </c>
      <c r="B8" s="36">
        <v>199879872</v>
      </c>
      <c r="C8" s="36">
        <v>247163424</v>
      </c>
      <c r="D8" s="36">
        <v>447043296</v>
      </c>
      <c r="E8" s="36">
        <v>12684.3938</v>
      </c>
      <c r="F8" s="36">
        <v>42</v>
      </c>
      <c r="H8" s="41" t="s">
        <v>19</v>
      </c>
      <c r="I8" s="38">
        <f>A7/A6</f>
        <v>10</v>
      </c>
      <c r="J8" s="39">
        <f t="shared" ref="J8:M9" si="5">B7/B6</f>
        <v>8.6561447837713867</v>
      </c>
      <c r="K8" s="39">
        <f t="shared" si="5"/>
        <v>8.8291686942229948</v>
      </c>
      <c r="L8" s="39">
        <f t="shared" si="5"/>
        <v>8.7499709877691583</v>
      </c>
      <c r="M8" s="39">
        <f t="shared" si="5"/>
        <v>6.0878437847173021</v>
      </c>
    </row>
    <row r="9" spans="1:13" ht="15" thickBot="1" x14ac:dyDescent="0.35">
      <c r="A9" s="36">
        <v>100000000</v>
      </c>
      <c r="B9" s="36">
        <v>1830361328</v>
      </c>
      <c r="C9" s="36">
        <v>2304541680</v>
      </c>
      <c r="D9" s="36">
        <v>4134903008</v>
      </c>
      <c r="E9" s="36">
        <v>119225.60649999999</v>
      </c>
      <c r="F9" s="36">
        <v>42</v>
      </c>
      <c r="H9" s="42" t="s">
        <v>20</v>
      </c>
      <c r="I9" s="38">
        <f>A8/A7</f>
        <v>10</v>
      </c>
      <c r="J9" s="39">
        <f t="shared" si="5"/>
        <v>9.0067027160308903</v>
      </c>
      <c r="K9" s="39">
        <f t="shared" si="5"/>
        <v>9.2166718319238843</v>
      </c>
      <c r="L9" s="39">
        <f t="shared" si="5"/>
        <v>9.1215938839413067</v>
      </c>
      <c r="M9" s="39">
        <f t="shared" si="5"/>
        <v>8.557263342075629</v>
      </c>
    </row>
    <row r="10" spans="1:13" ht="15" thickBot="1" x14ac:dyDescent="0.35">
      <c r="H10" s="43" t="s">
        <v>17</v>
      </c>
      <c r="I10" s="38">
        <f>A5/A3</f>
        <v>100</v>
      </c>
      <c r="J10" s="39">
        <f>B5/B3</f>
        <v>58.754930116791115</v>
      </c>
      <c r="K10" s="39">
        <f t="shared" ref="K10:M11" si="6">C5/C3</f>
        <v>62.561648682115688</v>
      </c>
      <c r="L10" s="39">
        <f t="shared" si="6"/>
        <v>60.733541743287972</v>
      </c>
      <c r="M10" s="39">
        <f t="shared" si="6"/>
        <v>6.8862930018218842</v>
      </c>
    </row>
    <row r="11" spans="1:13" ht="15" thickBot="1" x14ac:dyDescent="0.35">
      <c r="H11" s="41" t="s">
        <v>18</v>
      </c>
      <c r="I11" s="38">
        <f>A6/A4</f>
        <v>100</v>
      </c>
      <c r="J11" s="39">
        <f>B6/B4</f>
        <v>65.982962295714842</v>
      </c>
      <c r="K11" s="39">
        <f>C6/C4</f>
        <v>70.13943284685017</v>
      </c>
      <c r="L11" s="39">
        <f>D6/D4</f>
        <v>68.173736291824383</v>
      </c>
      <c r="M11" s="39">
        <f>E6/E4</f>
        <v>17.21492809570271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35AC9-AF3B-4844-96A3-ECAD3E7C020D}">
  <sheetPr codeName="Sheet3"/>
  <dimension ref="A1:M11"/>
  <sheetViews>
    <sheetView workbookViewId="0">
      <selection activeCell="A2" sqref="A2:F9"/>
    </sheetView>
  </sheetViews>
  <sheetFormatPr defaultRowHeight="14.4" x14ac:dyDescent="0.3"/>
  <cols>
    <col min="1" max="1" width="10" bestFit="1" customWidth="1"/>
    <col min="2" max="2" width="12.44140625" bestFit="1" customWidth="1"/>
    <col min="3" max="3" width="14.6640625" bestFit="1" customWidth="1"/>
    <col min="4" max="4" width="27.33203125" bestFit="1" customWidth="1"/>
    <col min="5" max="5" width="23.44140625" bestFit="1" customWidth="1"/>
    <col min="6" max="6" width="26.77734375" bestFit="1" customWidth="1"/>
    <col min="8" max="8" width="19" bestFit="1" customWidth="1"/>
    <col min="9" max="9" width="13.33203125" bestFit="1" customWidth="1"/>
    <col min="10" max="10" width="21.21875" bestFit="1" customWidth="1"/>
    <col min="11" max="11" width="23.21875" bestFit="1" customWidth="1"/>
    <col min="12" max="12" width="33.44140625" bestFit="1" customWidth="1"/>
    <col min="13" max="13" width="25" bestFit="1" customWidth="1"/>
  </cols>
  <sheetData>
    <row r="1" spans="1:13" ht="15" thickBot="1" x14ac:dyDescent="0.35">
      <c r="A1" s="18" t="s">
        <v>2</v>
      </c>
      <c r="B1" s="18" t="s">
        <v>0</v>
      </c>
      <c r="C1" s="18" t="s">
        <v>1</v>
      </c>
      <c r="D1" s="18" t="s">
        <v>5</v>
      </c>
      <c r="E1" s="18" t="s">
        <v>3</v>
      </c>
      <c r="F1" s="18" t="s">
        <v>4</v>
      </c>
      <c r="G1" s="10"/>
      <c r="H1" s="18" t="s">
        <v>2</v>
      </c>
      <c r="I1" s="18" t="s">
        <v>6</v>
      </c>
      <c r="J1" s="18" t="s">
        <v>7</v>
      </c>
      <c r="K1" s="18" t="s">
        <v>8</v>
      </c>
      <c r="L1" s="18" t="s">
        <v>9</v>
      </c>
      <c r="M1" s="18" t="s">
        <v>10</v>
      </c>
    </row>
    <row r="2" spans="1:13" ht="15" thickBot="1" x14ac:dyDescent="0.35">
      <c r="A2" s="12">
        <v>10</v>
      </c>
      <c r="B2" s="12">
        <v>16</v>
      </c>
      <c r="C2" s="12">
        <v>53</v>
      </c>
      <c r="D2" s="12">
        <v>69</v>
      </c>
      <c r="E2" s="12">
        <v>2.6700000000000002E-2</v>
      </c>
      <c r="F2" s="12">
        <v>15</v>
      </c>
      <c r="G2" s="10"/>
      <c r="H2" s="13" t="s">
        <v>11</v>
      </c>
      <c r="I2" s="32">
        <f>A3/A2</f>
        <v>10</v>
      </c>
      <c r="J2" s="14">
        <f>B3/B2</f>
        <v>10.8125</v>
      </c>
      <c r="K2" s="14">
        <f t="shared" ref="K2:M2" si="0">C3/C2</f>
        <v>13</v>
      </c>
      <c r="L2" s="14">
        <f t="shared" si="0"/>
        <v>12.492753623188406</v>
      </c>
      <c r="M2" s="14">
        <f t="shared" si="0"/>
        <v>0.62172284644194753</v>
      </c>
    </row>
    <row r="3" spans="1:13" ht="15" thickBot="1" x14ac:dyDescent="0.35">
      <c r="A3" s="12">
        <v>100</v>
      </c>
      <c r="B3" s="12">
        <v>173</v>
      </c>
      <c r="C3" s="12">
        <v>689</v>
      </c>
      <c r="D3" s="12">
        <v>862</v>
      </c>
      <c r="E3" s="12">
        <v>1.66E-2</v>
      </c>
      <c r="F3" s="12">
        <v>15</v>
      </c>
      <c r="G3" s="10"/>
      <c r="H3" s="15" t="s">
        <v>12</v>
      </c>
      <c r="I3" s="32">
        <f>A4/A2</f>
        <v>100</v>
      </c>
      <c r="J3" s="14">
        <f t="shared" ref="J3:M3" si="1">B4/B2</f>
        <v>131.0625</v>
      </c>
      <c r="K3" s="14">
        <f t="shared" si="1"/>
        <v>159.35849056603774</v>
      </c>
      <c r="L3" s="14">
        <f t="shared" si="1"/>
        <v>152.79710144927537</v>
      </c>
      <c r="M3" s="14">
        <f t="shared" si="1"/>
        <v>5.7116104868913853</v>
      </c>
    </row>
    <row r="4" spans="1:13" ht="15" thickBot="1" x14ac:dyDescent="0.35">
      <c r="A4" s="12">
        <v>1000</v>
      </c>
      <c r="B4" s="12">
        <v>2097</v>
      </c>
      <c r="C4" s="12">
        <v>8446</v>
      </c>
      <c r="D4" s="12">
        <v>10543</v>
      </c>
      <c r="E4" s="12">
        <v>0.1525</v>
      </c>
      <c r="F4" s="12">
        <v>15</v>
      </c>
      <c r="G4" s="10"/>
      <c r="H4" s="15" t="s">
        <v>13</v>
      </c>
      <c r="I4" s="32">
        <f>A5/A2</f>
        <v>1000</v>
      </c>
      <c r="J4" s="14">
        <f t="shared" ref="J4:M4" si="2">B5/B2</f>
        <v>1935.25</v>
      </c>
      <c r="K4" s="14">
        <f t="shared" si="2"/>
        <v>2202.6792452830186</v>
      </c>
      <c r="L4" s="14">
        <f t="shared" si="2"/>
        <v>2140.6666666666665</v>
      </c>
      <c r="M4" s="14">
        <f t="shared" si="2"/>
        <v>26.337078651685392</v>
      </c>
    </row>
    <row r="5" spans="1:13" ht="15" thickBot="1" x14ac:dyDescent="0.35">
      <c r="A5" s="12">
        <v>10000</v>
      </c>
      <c r="B5" s="12">
        <v>30964</v>
      </c>
      <c r="C5" s="12">
        <v>116742</v>
      </c>
      <c r="D5" s="12">
        <v>147706</v>
      </c>
      <c r="E5" s="12">
        <v>0.70320000000000005</v>
      </c>
      <c r="F5" s="12">
        <v>15</v>
      </c>
      <c r="G5" s="10"/>
      <c r="H5" s="15" t="s">
        <v>14</v>
      </c>
      <c r="I5" s="32">
        <f>A6/A2</f>
        <v>10000</v>
      </c>
      <c r="J5" s="14">
        <f t="shared" ref="J5:M5" si="3">B6/B2</f>
        <v>35423.5</v>
      </c>
      <c r="K5" s="14">
        <f t="shared" si="3"/>
        <v>36837.037735849059</v>
      </c>
      <c r="L5" s="14">
        <f t="shared" si="3"/>
        <v>36509.260869565216</v>
      </c>
      <c r="M5" s="14">
        <f t="shared" si="3"/>
        <v>166.72284644194755</v>
      </c>
    </row>
    <row r="6" spans="1:13" ht="15" thickBot="1" x14ac:dyDescent="0.35">
      <c r="A6" s="12">
        <v>100000</v>
      </c>
      <c r="B6" s="12">
        <v>566776</v>
      </c>
      <c r="C6" s="12">
        <v>1952363</v>
      </c>
      <c r="D6" s="12">
        <v>2519139</v>
      </c>
      <c r="E6" s="12">
        <v>4.4515000000000002</v>
      </c>
      <c r="F6" s="12">
        <v>15</v>
      </c>
      <c r="G6" s="10"/>
      <c r="H6" s="15" t="s">
        <v>15</v>
      </c>
      <c r="I6" s="32">
        <f>A4/A3</f>
        <v>10</v>
      </c>
      <c r="J6" s="14">
        <f t="shared" ref="J6:M7" si="4">B4/B3</f>
        <v>12.121387283236995</v>
      </c>
      <c r="K6" s="14">
        <f t="shared" si="4"/>
        <v>12.258345428156749</v>
      </c>
      <c r="L6" s="14">
        <f t="shared" si="4"/>
        <v>12.230858468677495</v>
      </c>
      <c r="M6" s="14">
        <f t="shared" si="4"/>
        <v>9.1867469879518069</v>
      </c>
    </row>
    <row r="7" spans="1:13" ht="15" thickBot="1" x14ac:dyDescent="0.35">
      <c r="A7" s="12">
        <v>1000000</v>
      </c>
      <c r="B7" s="12">
        <v>12351508</v>
      </c>
      <c r="C7" s="12">
        <v>39662029</v>
      </c>
      <c r="D7" s="12">
        <v>52013537</v>
      </c>
      <c r="E7" s="12">
        <v>37.152799999999999</v>
      </c>
      <c r="F7" s="12">
        <v>15</v>
      </c>
      <c r="G7" s="10"/>
      <c r="H7" s="15" t="s">
        <v>16</v>
      </c>
      <c r="I7" s="32">
        <f>A5/A4</f>
        <v>10</v>
      </c>
      <c r="J7" s="14">
        <f t="shared" si="4"/>
        <v>14.765855984740105</v>
      </c>
      <c r="K7" s="14">
        <f t="shared" si="4"/>
        <v>13.822164338148236</v>
      </c>
      <c r="L7" s="14">
        <f t="shared" si="4"/>
        <v>14.009864364981505</v>
      </c>
      <c r="M7" s="14">
        <f t="shared" si="4"/>
        <v>4.6111475409836071</v>
      </c>
    </row>
    <row r="8" spans="1:13" ht="15" thickBot="1" x14ac:dyDescent="0.35">
      <c r="A8" s="12">
        <v>10000000</v>
      </c>
      <c r="B8" s="12">
        <v>301439428</v>
      </c>
      <c r="C8" s="12">
        <v>930995384</v>
      </c>
      <c r="D8" s="12">
        <v>1232434812</v>
      </c>
      <c r="E8" s="12">
        <v>929.04679999999996</v>
      </c>
      <c r="F8" s="12">
        <v>15</v>
      </c>
      <c r="G8" s="10"/>
      <c r="H8" s="12" t="s">
        <v>19</v>
      </c>
      <c r="I8" s="32">
        <f>A7/A6</f>
        <v>10</v>
      </c>
      <c r="J8" s="14">
        <f t="shared" ref="J8:M9" si="5">B7/B6</f>
        <v>21.79257413863678</v>
      </c>
      <c r="K8" s="14">
        <f t="shared" si="5"/>
        <v>20.314884578328929</v>
      </c>
      <c r="L8" s="14">
        <f t="shared" si="5"/>
        <v>20.647346970532393</v>
      </c>
      <c r="M8" s="14">
        <f t="shared" si="5"/>
        <v>8.3461305178029868</v>
      </c>
    </row>
    <row r="9" spans="1:13" ht="15" thickBot="1" x14ac:dyDescent="0.35">
      <c r="A9" s="12">
        <v>100000000</v>
      </c>
      <c r="B9" s="12">
        <v>7856519406</v>
      </c>
      <c r="C9" s="12">
        <v>23840750938</v>
      </c>
      <c r="D9" s="12">
        <v>31697270344</v>
      </c>
      <c r="E9" s="12">
        <v>22792.6158</v>
      </c>
      <c r="F9" s="12">
        <v>15</v>
      </c>
      <c r="G9" s="10"/>
      <c r="H9" s="16" t="s">
        <v>20</v>
      </c>
      <c r="I9" s="32">
        <f>A8/A7</f>
        <v>10</v>
      </c>
      <c r="J9" s="14">
        <f t="shared" si="5"/>
        <v>24.405070862602365</v>
      </c>
      <c r="K9" s="14">
        <f t="shared" si="5"/>
        <v>23.473216259309375</v>
      </c>
      <c r="L9" s="14">
        <f t="shared" si="5"/>
        <v>23.694501144961553</v>
      </c>
      <c r="M9" s="14">
        <f t="shared" si="5"/>
        <v>25.006104519713183</v>
      </c>
    </row>
    <row r="10" spans="1:13" ht="15" thickBot="1" x14ac:dyDescent="0.35">
      <c r="A10" s="10"/>
      <c r="B10" s="10"/>
      <c r="C10" s="10"/>
      <c r="D10" s="10"/>
      <c r="E10" s="10"/>
      <c r="F10" s="10"/>
      <c r="G10" s="10"/>
      <c r="H10" s="17" t="s">
        <v>17</v>
      </c>
      <c r="I10" s="32">
        <f>A5/A3</f>
        <v>100</v>
      </c>
      <c r="J10" s="14">
        <f>B5/B3</f>
        <v>178.98265895953756</v>
      </c>
      <c r="K10" s="14">
        <f t="shared" ref="K10:M11" si="6">C5/C3</f>
        <v>169.43686502177067</v>
      </c>
      <c r="L10" s="14">
        <f t="shared" si="6"/>
        <v>171.35266821345706</v>
      </c>
      <c r="M10" s="14">
        <f t="shared" si="6"/>
        <v>42.361445783132531</v>
      </c>
    </row>
    <row r="11" spans="1:13" ht="15" thickBot="1" x14ac:dyDescent="0.35">
      <c r="A11" s="10"/>
      <c r="B11" s="10"/>
      <c r="C11" s="10"/>
      <c r="D11" s="10"/>
      <c r="E11" s="10"/>
      <c r="F11" s="10"/>
      <c r="G11" s="10"/>
      <c r="H11" s="12" t="s">
        <v>18</v>
      </c>
      <c r="I11" s="32">
        <f>A6/A4</f>
        <v>100</v>
      </c>
      <c r="J11" s="14">
        <f>B6/B4</f>
        <v>270.27944682880303</v>
      </c>
      <c r="K11" s="14">
        <f>C6/C4</f>
        <v>231.15829978688137</v>
      </c>
      <c r="L11" s="14">
        <f>D6/D4</f>
        <v>238.93948591482501</v>
      </c>
      <c r="M11" s="14">
        <f t="shared" si="6"/>
        <v>29.190163934426231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97B15-BF88-41A6-9E70-D021DFC7D39F}">
  <sheetPr codeName="Sheet4"/>
  <dimension ref="A1:M12"/>
  <sheetViews>
    <sheetView tabSelected="1" workbookViewId="0">
      <selection activeCell="A2" sqref="A2:F9"/>
    </sheetView>
  </sheetViews>
  <sheetFormatPr defaultRowHeight="14.4" x14ac:dyDescent="0.3"/>
  <cols>
    <col min="1" max="1" width="10" bestFit="1" customWidth="1"/>
    <col min="2" max="2" width="12.44140625" bestFit="1" customWidth="1"/>
    <col min="3" max="3" width="14.6640625" bestFit="1" customWidth="1"/>
    <col min="4" max="4" width="27.33203125" bestFit="1" customWidth="1"/>
    <col min="5" max="5" width="23.44140625" bestFit="1" customWidth="1"/>
    <col min="6" max="6" width="26.77734375" bestFit="1" customWidth="1"/>
    <col min="8" max="8" width="19" bestFit="1" customWidth="1"/>
    <col min="9" max="9" width="13.33203125" bestFit="1" customWidth="1"/>
    <col min="10" max="10" width="21.21875" bestFit="1" customWidth="1"/>
    <col min="11" max="11" width="23.21875" bestFit="1" customWidth="1"/>
    <col min="12" max="12" width="33.44140625" bestFit="1" customWidth="1"/>
    <col min="13" max="13" width="25" bestFit="1" customWidth="1"/>
  </cols>
  <sheetData>
    <row r="1" spans="1:13" ht="15" thickBot="1" x14ac:dyDescent="0.35">
      <c r="A1" s="21" t="s">
        <v>2</v>
      </c>
      <c r="B1" s="22" t="s">
        <v>0</v>
      </c>
      <c r="C1" s="22" t="s">
        <v>1</v>
      </c>
      <c r="D1" s="22" t="s">
        <v>5</v>
      </c>
      <c r="E1" s="22" t="s">
        <v>3</v>
      </c>
      <c r="F1" s="22" t="s">
        <v>4</v>
      </c>
      <c r="G1" s="23"/>
      <c r="H1" s="26" t="s">
        <v>2</v>
      </c>
      <c r="I1" s="27" t="s">
        <v>6</v>
      </c>
      <c r="J1" s="27" t="s">
        <v>7</v>
      </c>
      <c r="K1" s="27" t="s">
        <v>8</v>
      </c>
      <c r="L1" s="27" t="s">
        <v>9</v>
      </c>
      <c r="M1" s="27" t="s">
        <v>10</v>
      </c>
    </row>
    <row r="2" spans="1:13" ht="15" thickBot="1" x14ac:dyDescent="0.35">
      <c r="A2" s="24">
        <v>10</v>
      </c>
      <c r="B2" s="25">
        <v>71</v>
      </c>
      <c r="C2" s="25">
        <v>101</v>
      </c>
      <c r="D2" s="25">
        <v>172</v>
      </c>
      <c r="E2" s="9">
        <v>3.7600000000000001E-2</v>
      </c>
      <c r="F2" s="25">
        <v>30</v>
      </c>
      <c r="G2" s="23"/>
      <c r="H2" s="19" t="s">
        <v>11</v>
      </c>
      <c r="I2" s="30">
        <f>A3/A2</f>
        <v>10</v>
      </c>
      <c r="J2" s="11">
        <f>B3/B2</f>
        <v>8.0140845070422539</v>
      </c>
      <c r="K2" s="11">
        <f t="shared" ref="K2:M2" si="0">C3/C2</f>
        <v>9.0594059405940595</v>
      </c>
      <c r="L2" s="11">
        <f t="shared" si="0"/>
        <v>8.6279069767441854</v>
      </c>
      <c r="M2" s="11">
        <f t="shared" si="0"/>
        <v>0.66489361702127658</v>
      </c>
    </row>
    <row r="3" spans="1:13" ht="15" thickBot="1" x14ac:dyDescent="0.35">
      <c r="A3" s="24">
        <v>100</v>
      </c>
      <c r="B3" s="25">
        <v>569</v>
      </c>
      <c r="C3" s="25">
        <v>915</v>
      </c>
      <c r="D3" s="25">
        <v>1484</v>
      </c>
      <c r="E3" s="9">
        <v>2.5000000000000001E-2</v>
      </c>
      <c r="F3" s="25">
        <v>30</v>
      </c>
      <c r="G3" s="23"/>
      <c r="H3" s="19" t="s">
        <v>12</v>
      </c>
      <c r="I3" s="30">
        <f>A4/A2</f>
        <v>100</v>
      </c>
      <c r="J3" s="11">
        <f t="shared" ref="J3:M3" si="1">B4/B2</f>
        <v>85.774647887323937</v>
      </c>
      <c r="K3" s="11">
        <f t="shared" si="1"/>
        <v>102.29702970297029</v>
      </c>
      <c r="L3" s="11">
        <f t="shared" si="1"/>
        <v>95.476744186046517</v>
      </c>
      <c r="M3" s="11">
        <f t="shared" si="1"/>
        <v>7.9574468085106389</v>
      </c>
    </row>
    <row r="4" spans="1:13" ht="15" thickBot="1" x14ac:dyDescent="0.35">
      <c r="A4" s="24">
        <v>1000</v>
      </c>
      <c r="B4" s="25">
        <v>6090</v>
      </c>
      <c r="C4" s="25">
        <v>10332</v>
      </c>
      <c r="D4" s="25">
        <v>16422</v>
      </c>
      <c r="E4" s="9">
        <v>0.29920000000000002</v>
      </c>
      <c r="F4" s="25">
        <v>30</v>
      </c>
      <c r="G4" s="23"/>
      <c r="H4" s="19" t="s">
        <v>13</v>
      </c>
      <c r="I4" s="30">
        <f>A5/A2</f>
        <v>1000</v>
      </c>
      <c r="J4" s="11">
        <f t="shared" ref="J4:M4" si="2">B5/B2</f>
        <v>853.61971830985919</v>
      </c>
      <c r="K4" s="11">
        <f t="shared" si="2"/>
        <v>1034.2178217821781</v>
      </c>
      <c r="L4" s="11">
        <f t="shared" si="2"/>
        <v>959.66860465116281</v>
      </c>
      <c r="M4" s="11">
        <f t="shared" si="2"/>
        <v>40.678191489361701</v>
      </c>
    </row>
    <row r="5" spans="1:13" ht="15" thickBot="1" x14ac:dyDescent="0.35">
      <c r="A5" s="24">
        <v>10000</v>
      </c>
      <c r="B5" s="25">
        <v>60607</v>
      </c>
      <c r="C5" s="25">
        <v>104456</v>
      </c>
      <c r="D5" s="25">
        <v>165063</v>
      </c>
      <c r="E5" s="9">
        <v>1.5295000000000001</v>
      </c>
      <c r="F5" s="25">
        <v>30</v>
      </c>
      <c r="G5" s="23"/>
      <c r="H5" s="19" t="s">
        <v>14</v>
      </c>
      <c r="I5" s="30">
        <f>A6/A2</f>
        <v>10000</v>
      </c>
      <c r="J5" s="11">
        <f t="shared" ref="J5:M5" si="3">B6/B2</f>
        <v>8585.2957746478878</v>
      </c>
      <c r="K5" s="11">
        <f t="shared" si="3"/>
        <v>10481.841584158416</v>
      </c>
      <c r="L5" s="11">
        <f t="shared" si="3"/>
        <v>9698.9651162790706</v>
      </c>
      <c r="M5" s="11">
        <f t="shared" si="3"/>
        <v>202.69414893617019</v>
      </c>
    </row>
    <row r="6" spans="1:13" ht="15" thickBot="1" x14ac:dyDescent="0.35">
      <c r="A6" s="24">
        <v>100000</v>
      </c>
      <c r="B6" s="25">
        <v>609556</v>
      </c>
      <c r="C6" s="25">
        <v>1058666</v>
      </c>
      <c r="D6" s="25">
        <v>1668222</v>
      </c>
      <c r="E6" s="9">
        <v>7.6212999999999997</v>
      </c>
      <c r="F6" s="25">
        <v>30</v>
      </c>
      <c r="G6" s="23"/>
      <c r="H6" s="19" t="s">
        <v>15</v>
      </c>
      <c r="I6" s="30">
        <f>A4/A3</f>
        <v>10</v>
      </c>
      <c r="J6" s="11">
        <f t="shared" ref="J6:M7" si="4">B4/B3</f>
        <v>10.70298769771529</v>
      </c>
      <c r="K6" s="11">
        <f t="shared" si="4"/>
        <v>11.291803278688525</v>
      </c>
      <c r="L6" s="11">
        <f t="shared" si="4"/>
        <v>11.066037735849056</v>
      </c>
      <c r="M6" s="11">
        <f t="shared" si="4"/>
        <v>11.968</v>
      </c>
    </row>
    <row r="7" spans="1:13" ht="15" thickBot="1" x14ac:dyDescent="0.35">
      <c r="A7" s="24">
        <v>1000000</v>
      </c>
      <c r="B7" s="25">
        <v>6068489</v>
      </c>
      <c r="C7" s="25">
        <v>10576605</v>
      </c>
      <c r="D7" s="25">
        <v>16645094</v>
      </c>
      <c r="E7" s="9">
        <v>18.145</v>
      </c>
      <c r="F7" s="25">
        <v>30</v>
      </c>
      <c r="G7" s="23"/>
      <c r="H7" s="19" t="s">
        <v>16</v>
      </c>
      <c r="I7" s="30">
        <f>A5/A4</f>
        <v>10</v>
      </c>
      <c r="J7" s="11">
        <f t="shared" si="4"/>
        <v>9.9518883415435138</v>
      </c>
      <c r="K7" s="11">
        <f t="shared" si="4"/>
        <v>10.10994967092528</v>
      </c>
      <c r="L7" s="11">
        <f t="shared" si="4"/>
        <v>10.051333576909025</v>
      </c>
      <c r="M7" s="11">
        <f t="shared" si="4"/>
        <v>5.1119652406417115</v>
      </c>
    </row>
    <row r="8" spans="1:13" ht="15" thickBot="1" x14ac:dyDescent="0.35">
      <c r="A8" s="24">
        <v>10000000</v>
      </c>
      <c r="B8" s="25">
        <v>60624422</v>
      </c>
      <c r="C8" s="25">
        <v>105904222</v>
      </c>
      <c r="D8" s="25">
        <v>166528644</v>
      </c>
      <c r="E8" s="9">
        <v>85.171000000000006</v>
      </c>
      <c r="F8" s="25">
        <v>30</v>
      </c>
      <c r="G8" s="23"/>
      <c r="H8" s="28" t="s">
        <v>19</v>
      </c>
      <c r="I8" s="30">
        <f>A7/A6</f>
        <v>10</v>
      </c>
      <c r="J8" s="11">
        <f t="shared" ref="J8:M9" si="5">B7/B6</f>
        <v>9.955588986081672</v>
      </c>
      <c r="K8" s="11">
        <f t="shared" si="5"/>
        <v>9.9905021980492439</v>
      </c>
      <c r="L8" s="11">
        <f t="shared" si="5"/>
        <v>9.9777451682090277</v>
      </c>
      <c r="M8" s="11">
        <f t="shared" si="5"/>
        <v>2.3808274178945847</v>
      </c>
    </row>
    <row r="9" spans="1:13" ht="15" thickBot="1" x14ac:dyDescent="0.35">
      <c r="A9" s="24">
        <v>100000000</v>
      </c>
      <c r="B9" s="25">
        <v>605278378</v>
      </c>
      <c r="C9" s="25">
        <v>1058968310</v>
      </c>
      <c r="D9" s="25">
        <v>1664246688</v>
      </c>
      <c r="E9" s="9">
        <v>1364.43</v>
      </c>
      <c r="F9" s="25">
        <v>30</v>
      </c>
      <c r="G9" s="23"/>
      <c r="H9" s="20" t="s">
        <v>20</v>
      </c>
      <c r="I9" s="30">
        <f>A8/A7</f>
        <v>10</v>
      </c>
      <c r="J9" s="11">
        <f t="shared" si="5"/>
        <v>9.9900357403630462</v>
      </c>
      <c r="K9" s="11">
        <f t="shared" si="5"/>
        <v>10.013063927413381</v>
      </c>
      <c r="L9" s="11">
        <f t="shared" si="5"/>
        <v>10.004668282438056</v>
      </c>
      <c r="M9" s="11">
        <f t="shared" si="5"/>
        <v>4.6939101680903832</v>
      </c>
    </row>
    <row r="10" spans="1:13" ht="15" thickBot="1" x14ac:dyDescent="0.35">
      <c r="A10" s="23"/>
      <c r="B10" s="23"/>
      <c r="C10" s="23"/>
      <c r="D10" s="23"/>
      <c r="E10" s="23"/>
      <c r="F10" s="23"/>
      <c r="G10" s="23"/>
      <c r="H10" s="29" t="s">
        <v>17</v>
      </c>
      <c r="I10" s="30">
        <f>A5/A3</f>
        <v>100</v>
      </c>
      <c r="J10" s="11">
        <f>B5/B3</f>
        <v>106.51493848857645</v>
      </c>
      <c r="K10" s="11">
        <f t="shared" ref="K10:M11" si="6">C5/C3</f>
        <v>114.15956284153006</v>
      </c>
      <c r="L10" s="11">
        <f t="shared" si="6"/>
        <v>111.22843665768194</v>
      </c>
      <c r="M10" s="11">
        <f t="shared" si="6"/>
        <v>61.18</v>
      </c>
    </row>
    <row r="11" spans="1:13" ht="15" thickBot="1" x14ac:dyDescent="0.35">
      <c r="A11" s="23"/>
      <c r="B11" s="23"/>
      <c r="C11" s="23"/>
      <c r="D11" s="23"/>
      <c r="E11" s="23"/>
      <c r="F11" s="23"/>
      <c r="G11" s="23"/>
      <c r="H11" s="28" t="s">
        <v>18</v>
      </c>
      <c r="I11" s="30">
        <f>A6/A4</f>
        <v>100</v>
      </c>
      <c r="J11" s="11">
        <f>B6/B4</f>
        <v>100.09129720853859</v>
      </c>
      <c r="K11" s="11">
        <f>C6/C4</f>
        <v>102.46476964769647</v>
      </c>
      <c r="L11" s="11">
        <f>D6/D4</f>
        <v>101.58458165875045</v>
      </c>
      <c r="M11" s="11">
        <f t="shared" si="6"/>
        <v>25.472259358288767</v>
      </c>
    </row>
    <row r="12" spans="1:13" x14ac:dyDescent="0.3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ResultadosCribaEratostenes</vt:lpstr>
      <vt:lpstr>ResultadoMillerRabin</vt:lpstr>
      <vt:lpstr>ResultadoDivisionTentativaOpt</vt:lpstr>
      <vt:lpstr>ResultadosCribaAtkin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Salas</dc:creator>
  <cp:lastModifiedBy>JOSEPH DANIEL SALAS RIVAS</cp:lastModifiedBy>
  <dcterms:created xsi:type="dcterms:W3CDTF">2025-04-30T20:52:09Z</dcterms:created>
  <dcterms:modified xsi:type="dcterms:W3CDTF">2025-05-01T04:11:18Z</dcterms:modified>
</cp:coreProperties>
</file>